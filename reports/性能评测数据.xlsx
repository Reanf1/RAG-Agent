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e41aaec9e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eb8791729d0247fe"/>
    <x:sheet xmlns:r="http://schemas.openxmlformats.org/officeDocument/2006/relationships" name="逐题数据" sheetId="2" r:id="R843c388a9aad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00"/>
    <x:numFmt numFmtId="202" formatCode="0.00"/>
    <x:numFmt numFmtId="203" formatCode="0"/>
  </x:numFmts>
  <x:fonts count="4">
    <x:font>
      <x:sz val="11"/>
      <x:name val="Carlito"/>
    </x:font>
    <x:font>
      <x:sz val="11"/>
      <x:color rgb="FF172536"/>
      <x:name val="Arial"/>
    </x:font>
    <x:font>
      <x:b/>
      <x:sz val="16"/>
      <x:color rgb="FF17253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53"/>
      </x:patternFill>
    </x:fill>
  </x:fills>
  <x:borders count="2">
    <x:border/>
    <x:border>
      <x:bottom style="thin">
        <x:color rgb="FF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19b0f75d84f3f" /><Relationship Type="http://schemas.openxmlformats.org/officeDocument/2006/relationships/theme" Target="/xl/theme/theme1.xml" Id="Ref2c77639ed343ce" /><Relationship Type="http://schemas.openxmlformats.org/officeDocument/2006/relationships/sharedStrings" Target="/xl/sharedStrings.xml" Id="Rb12f5894abe24a1a" /><Relationship Type="http://schemas.openxmlformats.org/officeDocument/2006/relationships/worksheet" Target="/xl/worksheets/sheet1.xml" Id="Reb8791729d0247fe" /><Relationship Type="http://schemas.openxmlformats.org/officeDocument/2006/relationships/worksheet" Target="/xl/worksheets/sheet2.xml" Id="R843c388a9aad4d59" /></Relationships>
</file>

<file path=xl/tables/table1.xml><?xml version="1.0" encoding="utf-8"?>
<x:table xmlns:x="http://schemas.openxmlformats.org/spreadsheetml/2006/main" id="1" name="RetrievalQueries" displayName="RetrievalQueries" ref="A3:Q291" headerRowCount="1" totalsRowCount="0" totalsRowShown="0">
  <x:tableColumns count="17">
    <x:tableColumn id="1" name="检索方式"/>
    <x:tableColumn id="2" name="问题ID"/>
    <x:tableColumn id="3" name="语言组"/>
    <x:tableColumn id="4" name="目标论文"/>
    <x:tableColumn id="5" name="查询"/>
    <x:tableColumn id="6" name="标注相关块数"/>
    <x:tableColumn id="7" name="首个相关排名&#10;（Top-5）"/>
    <x:tableColumn id="8" name="命中相关块数&#10;（Top-5）"/>
    <x:tableColumn id="9" name="Hit@5"/>
    <x:tableColumn id="10" name="Recall@5"/>
    <x:tableColumn id="11" name="MRR@5"/>
    <x:tableColumn id="12" name="延迟第1轮(ms)"/>
    <x:tableColumn id="13" name="延迟第2轮(ms)"/>
    <x:tableColumn id="14" name="延迟第3轮(ms)"/>
    <x:tableColumn id="15" name="平均延迟(ms)"/>
    <x:tableColumn id="16" name="Top-5 块ID&#10;（前12位）"/>
    <x:tableColumn id="17" name="Top-5 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485b70fbd74ea0" /></Relationships>
</file>

<file path=xl/worksheets/sheet1.xml><?xml version="1.0" encoding="utf-8"?>
<x:worksheet xmlns:x="http://schemas.openxmlformats.org/spreadsheetml/2006/main">
  <x:sheetPr>
    <x:tabColor rgb="FF253B53"/>
  </x:sheetPr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1" customHeight="1">
      <x:c r="A2" s="3" t="str">
        <x:v>检索质量三档对比</x:v>
      </x:c>
      <x:c r="B2" s="2"/>
      <x:c r="C2" s="2"/>
      <x:c r="D2" s="2"/>
      <x:c r="E2" s="2"/>
      <x:c r="F2" s="2"/>
      <x:c r="G2" s="2"/>
    </x:row>
    <x:row r="3" ht="24" customHeight="1">
      <x:c r="A3" s="2" t="str">
        <x:v>2026-09-29，6 篇论文，821 块，96 条查询（48 个配对意图）</x:v>
      </x:c>
      <x:c r="B3" s="2"/>
      <x:c r="C3" s="2"/>
      <x:c r="D3" s="2"/>
      <x:c r="E3" s="2"/>
      <x:c r="F3" s="2"/>
      <x:c r="G3" s="2"/>
    </x:row>
    <x:row r="4" ht="24" customHeight="1">
      <x:c r="A4" s="2" t="str">
        <x:v>MRR@5 只计前五项；标注尚未经独立人工复核。</x:v>
      </x:c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24" customHeight="1">
      <x:c r="A6" s="13" t="str">
        <x:v>检索方式</x:v>
      </x:c>
      <x:c r="B6" s="13" t="str">
        <x:v>查询数</x:v>
      </x:c>
      <x:c r="C6" s="13" t="str">
        <x:v>Hit@5</x:v>
      </x:c>
      <x:c r="D6" s="13" t="str">
        <x:v>Recall@5</x:v>
      </x:c>
      <x:c r="E6" s="13" t="str">
        <x:v>MRR@5</x:v>
      </x:c>
      <x:c r="F6" s="13" t="str">
        <x:v>平均延迟(ms)</x:v>
      </x:c>
      <x:c r="G6" s="13" t="str">
        <x:v>P95延迟(ms)</x:v>
      </x:c>
    </x:row>
    <x:row r="7" ht="24" customHeight="1">
      <x:c r="A7" s="2" t="str">
        <x:v>纯向量</x:v>
      </x:c>
      <x:c r="B7" s="7" t="n">
        <x:f>COUNTIFS('逐题数据'!$A$4:$A$291,A7)</x:f>
        <x:v>96</x:v>
      </x:c>
      <x:c r="C7" s="8" t="n">
        <x:f>AVERAGEIFS('逐题数据'!$I$4:$I$291,'逐题数据'!$A$4:$A$291,A7)</x:f>
        <x:v>0.34375</x:v>
      </x:c>
      <x:c r="D7" s="8" t="n">
        <x:f>AVERAGEIFS('逐题数据'!$J$4:$J$291,'逐题数据'!$A$4:$A$291,A7)</x:f>
        <x:v>0.33159722222222227</x:v>
      </x:c>
      <x:c r="E7" s="9" t="n">
        <x:f>ROUND(AVERAGEIFS('逐题数据'!$K$4:$K$291,'逐题数据'!$A$4:$A$291,A7),12)</x:f>
        <x:v>0.21875</x:v>
      </x:c>
      <x:c r="F7" s="10" t="n">
        <x:f>AVERAGEIFS('逐题数据'!$O$4:$O$291,'逐题数据'!$A$4:$A$291,A7)</x:f>
        <x:v>19.348394666596704</x:v>
      </x:c>
      <x:c r="G7" s="10" t="n">
        <x:v>22.130981251939374</x:v>
      </x:c>
    </x:row>
    <x:row r="8" ht="24" customHeight="1">
      <x:c r="A8" s="2" t="str">
        <x:v>混合检索</x:v>
      </x:c>
      <x:c r="B8" s="7" t="n">
        <x:f>COUNTIFS('逐题数据'!$A$4:$A$291,A8)</x:f>
        <x:v>96</x:v>
      </x:c>
      <x:c r="C8" s="8" t="n">
        <x:f>AVERAGEIFS('逐题数据'!$I$4:$I$291,'逐题数据'!$A$4:$A$291,A8)</x:f>
        <x:v>0.3541666666666667</x:v>
      </x:c>
      <x:c r="D8" s="8" t="n">
        <x:f>AVERAGEIFS('逐题数据'!$J$4:$J$291,'逐题数据'!$A$4:$A$291,A8)</x:f>
        <x:v>0.3350694444444444</x:v>
      </x:c>
      <x:c r="E8" s="9" t="n">
        <x:f>ROUND(AVERAGEIFS('逐题数据'!$K$4:$K$291,'逐题数据'!$A$4:$A$291,A8),12)</x:f>
        <x:v>0.259722222222</x:v>
      </x:c>
      <x:c r="F8" s="10" t="n">
        <x:f>AVERAGEIFS('逐题数据'!$O$4:$O$291,'逐题数据'!$A$4:$A$291,A8)</x:f>
        <x:v>69.53401729501567</x:v>
      </x:c>
      <x:c r="G8" s="10" t="n">
        <x:v>73.55008124941378</x:v>
      </x:c>
    </x:row>
    <x:row r="9" ht="24" customHeight="1">
      <x:c r="A9" s="14" t="str">
        <x:v>混合+重排序</x:v>
      </x:c>
      <x:c r="B9" s="15" t="n">
        <x:f>COUNTIFS('逐题数据'!$A$4:$A$291,A9)</x:f>
        <x:v>96</x:v>
      </x:c>
      <x:c r="C9" s="16" t="n">
        <x:f>AVERAGEIFS('逐题数据'!$I$4:$I$291,'逐题数据'!$A$4:$A$291,A9)</x:f>
        <x:v>0.4583333333333333</x:v>
      </x:c>
      <x:c r="D9" s="16" t="n">
        <x:f>AVERAGEIFS('逐题数据'!$J$4:$J$291,'逐题数据'!$A$4:$A$291,A9)</x:f>
        <x:v>0.4288194444444444</x:v>
      </x:c>
      <x:c r="E9" s="17" t="n">
        <x:f>ROUND(AVERAGEIFS('逐题数据'!$K$4:$K$291,'逐题数据'!$A$4:$A$291,A9),12)</x:f>
        <x:v>0.378819444444</x:v>
      </x:c>
      <x:c r="F9" s="18" t="n">
        <x:f>AVERAGEIFS('逐题数据'!$O$4:$O$291,'逐题数据'!$A$4:$A$291,A9)</x:f>
        <x:v>1207.5401901006942</x:v>
      </x:c>
      <x:c r="G9" s="18" t="n">
        <x:v>1756.6678873994533</x:v>
      </x:c>
    </x:row>
    <x:row r="10" ht="24" customHeight="1">
      <x:c r="A10" s="2"/>
      <x:c r="B10" s="2"/>
      <x:c r="C10" s="2"/>
      <x:c r="D10" s="2"/>
      <x:c r="E10" s="2"/>
      <x:c r="F10" s="2"/>
      <x:c r="G10" s="2"/>
    </x:row>
    <x:row r="11" ht="24" customHeight="1">
      <x:c r="A11" s="2"/>
      <x:c r="B11" s="2"/>
      <x:c r="C11" s="2"/>
      <x:c r="D11" s="2"/>
      <x:c r="E11" s="2"/>
      <x:c r="F11" s="2"/>
      <x:c r="G11" s="2"/>
    </x:row>
    <x:row r="12" ht="24" customHeight="1">
      <x:c r="A12" s="2" t="str">
        <x:v>语言分组（zh=中文，en=英文）</x:v>
      </x:c>
      <x:c r="B12" s="2"/>
      <x:c r="C12" s="2"/>
      <x:c r="D12" s="2"/>
      <x:c r="E12" s="2"/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13" t="str">
        <x:v>检索方式</x:v>
      </x:c>
      <x:c r="B14" s="13" t="str">
        <x:v>查询→原文</x:v>
      </x:c>
      <x:c r="C14" s="13" t="str">
        <x:v>查询数</x:v>
      </x:c>
      <x:c r="D14" s="13" t="str">
        <x:v>Hit@5</x:v>
      </x:c>
      <x:c r="E14" s="13" t="str">
        <x:v>Recall@5</x:v>
      </x:c>
      <x:c r="F14" s="13" t="str">
        <x:v>MRR@5</x:v>
      </x:c>
      <x:c r="G14" s="13" t="str">
        <x:v>平均延迟(ms)</x:v>
      </x:c>
    </x:row>
    <x:row r="15" ht="24" customHeight="1">
      <x:c r="A15" s="2" t="str">
        <x:v>纯向量</x:v>
      </x:c>
      <x:c r="B15" s="2" t="str">
        <x:v>zh-&gt;zh</x:v>
      </x:c>
      <x:c r="C15" s="7" t="n">
        <x:f>COUNTIFS('逐题数据'!$A$4:$A$291,A15,'逐题数据'!$C$4:$C$291,B15)</x:f>
        <x:v>24</x:v>
      </x:c>
      <x:c r="D15" s="8" t="n">
        <x:f>AVERAGEIFS('逐题数据'!$I$4:$I$291,'逐题数据'!$A$4:$A$291,A15,'逐题数据'!$C$4:$C$291,B15)</x:f>
        <x:v>0.5833333333333334</x:v>
      </x:c>
      <x:c r="E15" s="8" t="n">
        <x:f>AVERAGEIFS('逐题数据'!$J$4:$J$291,'逐题数据'!$A$4:$A$291,A15,'逐题数据'!$C$4:$C$291,B15)</x:f>
        <x:v>0.5625</x:v>
      </x:c>
      <x:c r="F15" s="9" t="n">
        <x:f>ROUND(AVERAGEIFS('逐题数据'!$K$4:$K$291,'逐题数据'!$A$4:$A$291,A15,'逐题数据'!$C$4:$C$291,B15),12)</x:f>
        <x:v>0.405555555556</x:v>
      </x:c>
      <x:c r="G15" s="10" t="n">
        <x:f>AVERAGEIFS('逐题数据'!$O$4:$O$291,'逐题数据'!$A$4:$A$291,A15,'逐题数据'!$C$4:$C$291,B15)</x:f>
        <x:v>19.842336194465638</x:v>
      </x:c>
    </x:row>
    <x:row r="16" ht="24" customHeight="1">
      <x:c r="A16" s="2" t="str">
        <x:v>纯向量</x:v>
      </x:c>
      <x:c r="B16" s="2" t="str">
        <x:v>en-&gt;en</x:v>
      </x:c>
      <x:c r="C16" s="7" t="n">
        <x:f>COUNTIFS('逐题数据'!$A$4:$A$291,A16,'逐题数据'!$C$4:$C$291,B16)</x:f>
        <x:v>24</x:v>
      </x:c>
      <x:c r="D16" s="8" t="n">
        <x:f>AVERAGEIFS('逐题数据'!$I$4:$I$291,'逐题数据'!$A$4:$A$291,A16,'逐题数据'!$C$4:$C$291,B16)</x:f>
        <x:v>0.5416666666666666</x:v>
      </x:c>
      <x:c r="E16" s="8" t="n">
        <x:f>AVERAGEIFS('逐题数据'!$J$4:$J$291,'逐题数据'!$A$4:$A$291,A16,'逐题数据'!$C$4:$C$291,B16)</x:f>
        <x:v>0.5138888888888888</x:v>
      </x:c>
      <x:c r="F16" s="9" t="n">
        <x:f>ROUND(AVERAGEIFS('逐题数据'!$K$4:$K$291,'逐题数据'!$A$4:$A$291,A16,'逐题数据'!$C$4:$C$291,B16),12)</x:f>
        <x:v>0.329166666667</x:v>
      </x:c>
      <x:c r="G16" s="10" t="n">
        <x:f>AVERAGEIFS('逐题数据'!$O$4:$O$291,'逐题数据'!$A$4:$A$291,A16,'逐题数据'!$C$4:$C$291,B16)</x:f>
        <x:v>19.15322395810411</x:v>
      </x:c>
    </x:row>
    <x:row r="17" ht="24" customHeight="1">
      <x:c r="A17" s="2" t="str">
        <x:v>纯向量</x:v>
      </x:c>
      <x:c r="B17" s="2" t="str">
        <x:v>zh-&gt;en</x:v>
      </x:c>
      <x:c r="C17" s="7" t="n">
        <x:f>COUNTIFS('逐题数据'!$A$4:$A$291,A17,'逐题数据'!$C$4:$C$291,B17)</x:f>
        <x:v>24</x:v>
      </x:c>
      <x:c r="D17" s="8" t="n">
        <x:f>AVERAGEIFS('逐题数据'!$I$4:$I$291,'逐题数据'!$A$4:$A$291,A17,'逐题数据'!$C$4:$C$291,B17)</x:f>
        <x:v>0.20833333333333334</x:v>
      </x:c>
      <x:c r="E17" s="8" t="n">
        <x:f>AVERAGEIFS('逐题数据'!$J$4:$J$291,'逐题数据'!$A$4:$A$291,A17,'逐题数据'!$C$4:$C$291,B17)</x:f>
        <x:v>0.20833333333333334</x:v>
      </x:c>
      <x:c r="F17" s="9" t="n">
        <x:f>ROUND(AVERAGEIFS('逐题数据'!$K$4:$K$291,'逐题数据'!$A$4:$A$291,A17,'逐题数据'!$C$4:$C$291,B17),12)</x:f>
        <x:v>0.098611111111</x:v>
      </x:c>
      <x:c r="G17" s="10" t="n">
        <x:f>AVERAGEIFS('逐题数据'!$O$4:$O$291,'逐题数据'!$A$4:$A$291,A17,'逐题数据'!$C$4:$C$291,B17)</x:f>
        <x:v>17.92781487478755</x:v>
      </x:c>
    </x:row>
    <x:row r="18" ht="24" customHeight="1">
      <x:c r="A18" s="2" t="str">
        <x:v>纯向量</x:v>
      </x:c>
      <x:c r="B18" s="2" t="str">
        <x:v>en-&gt;zh</x:v>
      </x:c>
      <x:c r="C18" s="7" t="n">
        <x:f>COUNTIFS('逐题数据'!$A$4:$A$291,A18,'逐题数据'!$C$4:$C$291,B18)</x:f>
        <x:v>24</x:v>
      </x:c>
      <x:c r="D18" s="8" t="n">
        <x:f>AVERAGEIFS('逐题数据'!$I$4:$I$291,'逐题数据'!$A$4:$A$291,A18,'逐题数据'!$C$4:$C$291,B18)</x:f>
        <x:v>0.041666666666666664</x:v>
      </x:c>
      <x:c r="E18" s="8" t="n">
        <x:f>AVERAGEIFS('逐题数据'!$J$4:$J$291,'逐题数据'!$A$4:$A$291,A18,'逐题数据'!$C$4:$C$291,B18)</x:f>
        <x:v>0.041666666666666664</x:v>
      </x:c>
      <x:c r="F18" s="9" t="n">
        <x:f>ROUND(AVERAGEIFS('逐题数据'!$K$4:$K$291,'逐题数据'!$A$4:$A$291,A18,'逐题数据'!$C$4:$C$291,B18),12)</x:f>
        <x:v>0.041666666667</x:v>
      </x:c>
      <x:c r="G18" s="10" t="n">
        <x:f>AVERAGEIFS('逐题数据'!$O$4:$O$291,'逐题数据'!$A$4:$A$291,A18,'逐题数据'!$C$4:$C$291,B18)</x:f>
        <x:v>20.47020363902953</x:v>
      </x:c>
    </x:row>
    <x:row r="19" ht="24" customHeight="1">
      <x:c r="A19" s="2" t="str">
        <x:v>混合检索</x:v>
      </x:c>
      <x:c r="B19" s="2" t="str">
        <x:v>zh-&gt;zh</x:v>
      </x:c>
      <x:c r="C19" s="7" t="n">
        <x:f>COUNTIFS('逐题数据'!$A$4:$A$291,A19,'逐题数据'!$C$4:$C$291,B19)</x:f>
        <x:v>24</x:v>
      </x:c>
      <x:c r="D19" s="8" t="n">
        <x:f>AVERAGEIFS('逐题数据'!$I$4:$I$291,'逐题数据'!$A$4:$A$291,A19,'逐题数据'!$C$4:$C$291,B19)</x:f>
        <x:v>0.7083333333333334</x:v>
      </x:c>
      <x:c r="E19" s="8" t="n">
        <x:f>AVERAGEIFS('逐题数据'!$J$4:$J$291,'逐题数据'!$A$4:$A$291,A19,'逐题数据'!$C$4:$C$291,B19)</x:f>
        <x:v>0.6666666666666666</x:v>
      </x:c>
      <x:c r="F19" s="9" t="n">
        <x:f>ROUND(AVERAGEIFS('逐题数据'!$K$4:$K$291,'逐题数据'!$A$4:$A$291,A19,'逐题数据'!$C$4:$C$291,B19),12)</x:f>
        <x:v>0.465972222222</x:v>
      </x:c>
      <x:c r="G19" s="10" t="n">
        <x:f>AVERAGEIFS('逐题数据'!$O$4:$O$291,'逐题数据'!$A$4:$A$291,A19,'逐题数据'!$C$4:$C$291,B19)</x:f>
        <x:v>72.0773778194699</x:v>
      </x:c>
    </x:row>
    <x:row r="20" ht="24" customHeight="1">
      <x:c r="A20" s="2" t="str">
        <x:v>混合检索</x:v>
      </x:c>
      <x:c r="B20" s="2" t="str">
        <x:v>en-&gt;en</x:v>
      </x:c>
      <x:c r="C20" s="7" t="n">
        <x:f>COUNTIFS('逐题数据'!$A$4:$A$291,A20,'逐题数据'!$C$4:$C$291,B20)</x:f>
        <x:v>24</x:v>
      </x:c>
      <x:c r="D20" s="8" t="n">
        <x:f>AVERAGEIFS('逐题数据'!$I$4:$I$291,'逐题数据'!$A$4:$A$291,A20,'逐题数据'!$C$4:$C$291,B20)</x:f>
        <x:v>0.5833333333333334</x:v>
      </x:c>
      <x:c r="E20" s="8" t="n">
        <x:f>AVERAGEIFS('逐题数据'!$J$4:$J$291,'逐题数据'!$A$4:$A$291,A20,'逐题数据'!$C$4:$C$291,B20)</x:f>
        <x:v>0.548611111111111</x:v>
      </x:c>
      <x:c r="F20" s="9" t="n">
        <x:f>ROUND(AVERAGEIFS('逐题数据'!$K$4:$K$291,'逐题数据'!$A$4:$A$291,A20,'逐题数据'!$C$4:$C$291,B20),12)</x:f>
        <x:v>0.5</x:v>
      </x:c>
      <x:c r="G20" s="10" t="n">
        <x:f>AVERAGEIFS('逐题数据'!$O$4:$O$291,'逐题数据'!$A$4:$A$291,A20,'逐题数据'!$C$4:$C$291,B20)</x:f>
        <x:v>68.21811045796898</x:v>
      </x:c>
    </x:row>
    <x:row r="21" ht="24" customHeight="1">
      <x:c r="A21" s="2" t="str">
        <x:v>混合检索</x:v>
      </x:c>
      <x:c r="B21" s="2" t="str">
        <x:v>zh-&gt;en</x:v>
      </x:c>
      <x:c r="C21" s="7" t="n">
        <x:f>COUNTIFS('逐题数据'!$A$4:$A$291,A21,'逐题数据'!$C$4:$C$291,B21)</x:f>
        <x:v>24</x:v>
      </x:c>
      <x:c r="D21" s="8" t="n">
        <x:f>AVERAGEIFS('逐题数据'!$I$4:$I$291,'逐题数据'!$A$4:$A$291,A21,'逐题数据'!$C$4:$C$291,B21)</x:f>
        <x:v>0.08333333333333333</x:v>
      </x:c>
      <x:c r="E21" s="8" t="n">
        <x:f>AVERAGEIFS('逐题数据'!$J$4:$J$291,'逐题数据'!$A$4:$A$291,A21,'逐题数据'!$C$4:$C$291,B21)</x:f>
        <x:v>0.08333333333333333</x:v>
      </x:c>
      <x:c r="F21" s="9" t="n">
        <x:f>ROUND(AVERAGEIFS('逐题数据'!$K$4:$K$291,'逐题数据'!$A$4:$A$291,A21,'逐题数据'!$C$4:$C$291,B21),12)</x:f>
        <x:v>0.052083333333</x:v>
      </x:c>
      <x:c r="G21" s="10" t="n">
        <x:f>AVERAGEIFS('逐题数据'!$O$4:$O$291,'逐题数据'!$A$4:$A$291,A21,'逐题数据'!$C$4:$C$291,B21)</x:f>
        <x:v>68.47230659700976</x:v>
      </x:c>
    </x:row>
    <x:row r="22" ht="24" customHeight="1">
      <x:c r="A22" s="2" t="str">
        <x:v>混合检索</x:v>
      </x:c>
      <x:c r="B22" s="2" t="str">
        <x:v>en-&gt;zh</x:v>
      </x:c>
      <x:c r="C22" s="7" t="n">
        <x:f>COUNTIFS('逐题数据'!$A$4:$A$291,A22,'逐题数据'!$C$4:$C$291,B22)</x:f>
        <x:v>24</x:v>
      </x:c>
      <x:c r="D22" s="8" t="n">
        <x:f>AVERAGEIFS('逐题数据'!$I$4:$I$291,'逐题数据'!$A$4:$A$291,A22,'逐题数据'!$C$4:$C$291,B22)</x:f>
        <x:v>0.041666666666666664</x:v>
      </x:c>
      <x:c r="E22" s="8" t="n">
        <x:f>AVERAGEIFS('逐题数据'!$J$4:$J$291,'逐题数据'!$A$4:$A$291,A22,'逐题数据'!$C$4:$C$291,B22)</x:f>
        <x:v>0.041666666666666664</x:v>
      </x:c>
      <x:c r="F22" s="9" t="n">
        <x:f>ROUND(AVERAGEIFS('逐题数据'!$K$4:$K$291,'逐题数据'!$A$4:$A$291,A22,'逐题数据'!$C$4:$C$291,B22),12)</x:f>
        <x:v>0.020833333333</x:v>
      </x:c>
      <x:c r="G22" s="10" t="n">
        <x:f>AVERAGEIFS('逐题数据'!$O$4:$O$291,'逐题数据'!$A$4:$A$291,A22,'逐题数据'!$C$4:$C$291,B22)</x:f>
        <x:v>69.36827430561405</x:v>
      </x:c>
    </x:row>
    <x:row r="23" ht="24" customHeight="1">
      <x:c r="A23" s="2" t="str">
        <x:v>混合+重排序</x:v>
      </x:c>
      <x:c r="B23" s="2" t="str">
        <x:v>zh-&gt;zh</x:v>
      </x:c>
      <x:c r="C23" s="7" t="n">
        <x:f>COUNTIFS('逐题数据'!$A$4:$A$291,A23,'逐题数据'!$C$4:$C$291,B23)</x:f>
        <x:v>24</x:v>
      </x:c>
      <x:c r="D23" s="8" t="n">
        <x:f>AVERAGEIFS('逐题数据'!$I$4:$I$291,'逐题数据'!$A$4:$A$291,A23,'逐题数据'!$C$4:$C$291,B23)</x:f>
        <x:v>0.8333333333333334</x:v>
      </x:c>
      <x:c r="E23" s="8" t="n">
        <x:f>AVERAGEIFS('逐题数据'!$J$4:$J$291,'逐题数据'!$A$4:$A$291,A23,'逐题数据'!$C$4:$C$291,B23)</x:f>
        <x:v>0.8125</x:v>
      </x:c>
      <x:c r="F23" s="9" t="n">
        <x:f>ROUND(AVERAGEIFS('逐题数据'!$K$4:$K$291,'逐题数据'!$A$4:$A$291,A23,'逐题数据'!$C$4:$C$291,B23),12)</x:f>
        <x:v>0.695833333333</x:v>
      </x:c>
      <x:c r="G23" s="10" t="n">
        <x:f>AVERAGEIFS('逐题数据'!$O$4:$O$291,'逐题数据'!$A$4:$A$291,A23,'逐题数据'!$C$4:$C$291,B23)</x:f>
        <x:v>1603.772291041777</x:v>
      </x:c>
    </x:row>
    <x:row r="24" ht="24" customHeight="1">
      <x:c r="A24" s="2" t="str">
        <x:v>混合+重排序</x:v>
      </x:c>
      <x:c r="B24" s="2" t="str">
        <x:v>en-&gt;en</x:v>
      </x:c>
      <x:c r="C24" s="7" t="n">
        <x:f>COUNTIFS('逐题数据'!$A$4:$A$291,A24,'逐题数据'!$C$4:$C$291,B24)</x:f>
        <x:v>24</x:v>
      </x:c>
      <x:c r="D24" s="8" t="n">
        <x:f>AVERAGEIFS('逐题数据'!$I$4:$I$291,'逐题数据'!$A$4:$A$291,A24,'逐题数据'!$C$4:$C$291,B24)</x:f>
        <x:v>0.7083333333333334</x:v>
      </x:c>
      <x:c r="E24" s="8" t="n">
        <x:f>AVERAGEIFS('逐题数据'!$J$4:$J$291,'逐题数据'!$A$4:$A$291,A24,'逐题数据'!$C$4:$C$291,B24)</x:f>
        <x:v>0.6319444444444444</x:v>
      </x:c>
      <x:c r="F24" s="9" t="n">
        <x:f>ROUND(AVERAGEIFS('逐题数据'!$K$4:$K$291,'逐题数据'!$A$4:$A$291,A24,'逐题数据'!$C$4:$C$291,B24),12)</x:f>
        <x:v>0.569444444444</x:v>
      </x:c>
      <x:c r="G24" s="10" t="n">
        <x:f>AVERAGEIFS('逐题数据'!$O$4:$O$291,'逐题数据'!$A$4:$A$291,A24,'逐题数据'!$C$4:$C$291,B24)</x:f>
        <x:v>780.519403333023</x:v>
      </x:c>
    </x:row>
    <x:row r="25" ht="24" customHeight="1">
      <x:c r="A25" s="2" t="str">
        <x:v>混合+重排序</x:v>
      </x:c>
      <x:c r="B25" s="2" t="str">
        <x:v>zh-&gt;en</x:v>
      </x:c>
      <x:c r="C25" s="7" t="n">
        <x:f>COUNTIFS('逐题数据'!$A$4:$A$291,A25,'逐题数据'!$C$4:$C$291,B25)</x:f>
        <x:v>24</x:v>
      </x:c>
      <x:c r="D25" s="8" t="n">
        <x:f>AVERAGEIFS('逐题数据'!$I$4:$I$291,'逐题数据'!$A$4:$A$291,A25,'逐题数据'!$C$4:$C$291,B25)</x:f>
        <x:v>0.20833333333333334</x:v>
      </x:c>
      <x:c r="E25" s="8" t="n">
        <x:f>AVERAGEIFS('逐题数据'!$J$4:$J$291,'逐题数据'!$A$4:$A$291,A25,'逐题数据'!$C$4:$C$291,B25)</x:f>
        <x:v>0.20833333333333334</x:v>
      </x:c>
      <x:c r="F25" s="9" t="n">
        <x:f>ROUND(AVERAGEIFS('逐题数据'!$K$4:$K$291,'逐题数据'!$A$4:$A$291,A25,'逐题数据'!$C$4:$C$291,B25),12)</x:f>
        <x:v>0.1875</x:v>
      </x:c>
      <x:c r="G25" s="10" t="n">
        <x:f>AVERAGEIFS('逐题数据'!$O$4:$O$291,'逐题数据'!$A$4:$A$291,A25,'逐题数据'!$C$4:$C$291,B25)</x:f>
        <x:v>1523.2718640276692</x:v>
      </x:c>
    </x:row>
    <x:row r="26" ht="24" customHeight="1">
      <x:c r="A26" s="14" t="str">
        <x:v>混合+重排序</x:v>
      </x:c>
      <x:c r="B26" s="14" t="str">
        <x:v>en-&gt;zh</x:v>
      </x:c>
      <x:c r="C26" s="15" t="n">
        <x:f>COUNTIFS('逐题数据'!$A$4:$A$291,A26,'逐题数据'!$C$4:$C$291,B26)</x:f>
        <x:v>24</x:v>
      </x:c>
      <x:c r="D26" s="16" t="n">
        <x:f>AVERAGEIFS('逐题数据'!$I$4:$I$291,'逐题数据'!$A$4:$A$291,A26,'逐题数据'!$C$4:$C$291,B26)</x:f>
        <x:v>0.08333333333333333</x:v>
      </x:c>
      <x:c r="E26" s="16" t="n">
        <x:f>AVERAGEIFS('逐题数据'!$J$4:$J$291,'逐题数据'!$A$4:$A$291,A26,'逐题数据'!$C$4:$C$291,B26)</x:f>
        <x:v>0.0625</x:v>
      </x:c>
      <x:c r="F26" s="17" t="n">
        <x:f>ROUND(AVERAGEIFS('逐题数据'!$K$4:$K$291,'逐题数据'!$A$4:$A$291,A26,'逐题数据'!$C$4:$C$291,B26),12)</x:f>
        <x:v>0.0625</x:v>
      </x:c>
      <x:c r="G26" s="18" t="n">
        <x:f>AVERAGEIFS('逐题数据'!$O$4:$O$291,'逐题数据'!$A$4:$A$291,A26,'逐题数据'!$C$4:$C$291,B26)</x:f>
        <x:v>922.5972020003105</x:v>
      </x:c>
    </x:row>
    <x:row r="27" ht="24" customHeight="1">
      <x:c r="A27" s="2"/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2" t="str">
        <x:v>M3E + Chroma + BM25/RRF + bge-reranker-base；CPU/FP32，4 线程。</x:v>
      </x:c>
      <x:c r="B29" s="2"/>
      <x:c r="C29" s="2"/>
      <x:c r="D29" s="2"/>
      <x:c r="E29" s="2"/>
      <x:c r="F29" s="2"/>
      <x:c r="G29" s="2"/>
    </x:row>
    <x:row r="30" ht="24" customHeight="1">
      <x:c r="A30" s="2" t="str">
        <x:v>最终 Top-5，候选 Top-20，RRF 常数 60，重排上限 512 Token。</x:v>
      </x:c>
      <x:c r="B30" s="2"/>
      <x:c r="C30" s="2"/>
      <x:c r="D30" s="2"/>
      <x:c r="E30" s="2"/>
      <x:c r="F30" s="2"/>
      <x:c r="G30" s="2"/>
    </x:row>
    <x:row r="31" ht="24" customHeight="1">
      <x:c r="A31" s="2" t="str">
        <x:v>延迟预热后测三轮；P95 为原始测量快照。汇总率由逐题公式计算。</x:v>
      </x:c>
      <x:c r="B31" s="2"/>
      <x:c r="C31" s="2"/>
      <x:c r="D31" s="2"/>
      <x:c r="E31" s="2"/>
      <x:c r="F31" s="2"/>
      <x:c r="G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5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2" hidden="0" customWidth="1"/>
    <x:col min="17" max="17" width="28" hidden="0" customWidth="1"/>
  </x:cols>
  <x:sheetData>
    <x:row r="1" ht="24" customHeight="1">
      <x:c r="A1" s="2" t="str">
        <x:v>来源：检索三档对比结果.json；问题标注：Embedding论文双语评测集.json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42" customHeight="1">
      <x:c r="A3" s="22" t="str">
        <x:v>检索方式</x:v>
      </x:c>
      <x:c r="B3" s="22" t="str">
        <x:v>问题ID</x:v>
      </x:c>
      <x:c r="C3" s="22" t="str">
        <x:v>语言组</x:v>
      </x:c>
      <x:c r="D3" s="22" t="str">
        <x:v>目标论文</x:v>
      </x:c>
      <x:c r="E3" s="22" t="str">
        <x:v>查询</x:v>
      </x:c>
      <x:c r="F3" s="22" t="str">
        <x:v>标注相关块数</x:v>
      </x:c>
      <x:c r="G3" s="22" t="str">
        <x:v>首个相关排名
（Top-5）</x:v>
      </x:c>
      <x:c r="H3" s="22" t="str">
        <x:v>命中相关块数
（Top-5）</x:v>
      </x:c>
      <x:c r="I3" s="22" t="str">
        <x:v>Hit@5</x:v>
      </x:c>
      <x:c r="J3" s="22" t="str">
        <x:v>Recall@5</x:v>
      </x:c>
      <x:c r="K3" s="22" t="str">
        <x:v>MRR@5</x:v>
      </x:c>
      <x:c r="L3" s="22" t="str">
        <x:v>延迟第1轮(ms)</x:v>
      </x:c>
      <x:c r="M3" s="22" t="str">
        <x:v>延迟第2轮(ms)</x:v>
      </x:c>
      <x:c r="N3" s="22" t="str">
        <x:v>延迟第3轮(ms)</x:v>
      </x:c>
      <x:c r="O3" s="22" t="str">
        <x:v>平均延迟(ms)</x:v>
      </x:c>
      <x:c r="P3" s="22" t="str">
        <x:v>Top-5 块ID
（前12位）</x:v>
      </x:c>
      <x:c r="Q3" s="22" t="str">
        <x:v>Top-5 来源</x:v>
      </x:c>
    </x:row>
    <x:row r="4" ht="95" customHeight="1">
      <x:c r="A4" s="2" t="str">
        <x:v>纯向量</x:v>
      </x:c>
      <x:c r="B4" s="2" t="str">
        <x:v>attention-01-zh</x:v>
      </x:c>
      <x:c r="C4" s="2" t="str">
        <x:v>zh-&gt;en</x:v>
      </x:c>
      <x:c r="D4" s="2" t="str">
        <x:v>attention</x:v>
      </x:c>
      <x:c r="E4" s="19" t="str">
        <x:v>原始Transformer编码器堆叠了多少层？</x:v>
      </x:c>
      <x:c r="F4" s="7" t="n">
        <x:v>1</x:v>
      </x:c>
      <x:c r="G4" s="7" t="n">
        <x:v>3</x:v>
      </x:c>
      <x:c r="H4" s="7" t="n">
        <x:v>1</x:v>
      </x:c>
      <x:c r="I4" s="20" t="n">
        <x:f>IF(H4&gt;0,1,0)</x:f>
        <x:v>1</x:v>
      </x:c>
      <x:c r="J4" s="8" t="n">
        <x:f>H4/F4</x:f>
        <x:v>1</x:v>
      </x:c>
      <x:c r="K4" s="9" t="n">
        <x:f>IF(G4="",0,1/G4)</x:f>
        <x:v>0.3333333333333333</x:v>
      </x:c>
      <x:c r="L4" s="10" t="n">
        <x:v>16.95741699950304</x:v>
      </x:c>
      <x:c r="M4" s="10" t="n">
        <x:v>18.623208998178598</x:v>
      </x:c>
      <x:c r="N4" s="10" t="n">
        <x:v>16.619040998193668</x:v>
      </x:c>
      <x:c r="O4" s="10" t="n">
        <x:f>AVERAGE(L4:N4)</x:f>
        <x:v>17.3998889986251</x:v>
      </x:c>
      <x:c r="P4" s="19" t="str">
        <x:v>6eab2dd1fd9a
132453b8955b
92f8ad03bc04
a8c1ab9fade5
33c362adeeae</x:v>
      </x:c>
      <x:c r="Q4" s="19" t="str">
        <x:v>vision_survey.pdf 第12页
vision_survey.pdf 第12页
attention.pdf 第3页
bert.pdf 第8页
bert.pdf 第3页</x:v>
      </x:c>
    </x:row>
    <x:row r="5" ht="95" customHeight="1">
      <x:c r="A5" s="2" t="str">
        <x:v>纯向量</x:v>
      </x:c>
      <x:c r="B5" s="2" t="str">
        <x:v>attention-01-en</x:v>
      </x:c>
      <x:c r="C5" s="2" t="str">
        <x:v>en-&gt;en</x:v>
      </x:c>
      <x:c r="D5" s="2" t="str">
        <x:v>attention</x:v>
      </x:c>
      <x:c r="E5" s="19" t="str">
        <x:v>How many identical encoder layers are stacked in the original Transformer?</x:v>
      </x:c>
      <x:c r="F5" s="7" t="n">
        <x:v>1</x:v>
      </x:c>
      <x:c r="G5" s="7" t="n">
        <x:v>1</x:v>
      </x:c>
      <x:c r="H5" s="7" t="n">
        <x:v>1</x:v>
      </x:c>
      <x:c r="I5" s="20" t="n">
        <x:f>IF(H5&gt;0,1,0)</x:f>
        <x:v>1</x:v>
      </x:c>
      <x:c r="J5" s="8" t="n">
        <x:f>H5/F5</x:f>
        <x:v>1</x:v>
      </x:c>
      <x:c r="K5" s="9" t="n">
        <x:f>IF(G5="",0,1/G5)</x:f>
        <x:v>1</x:v>
      </x:c>
      <x:c r="L5" s="10" t="n">
        <x:v>17.830791999585927</x:v>
      </x:c>
      <x:c r="M5" s="10" t="n">
        <x:v>17.803375001676613</x:v>
      </x:c>
      <x:c r="N5" s="10" t="n">
        <x:v>17.411249998986023</x:v>
      </x:c>
      <x:c r="O5" s="10" t="n">
        <x:f>AVERAGE(L5:N5)</x:f>
        <x:v>17.681805666749522</x:v>
      </x:c>
      <x:c r="P5" s="19" t="str">
        <x:v>92f8ad03bc04
adfb6984b369
6bf22889f352
9e9acdbba6f7
33c362adeeae</x:v>
      </x:c>
      <x:c r="Q5" s="19" t="str">
        <x:v>attention.pdf 第3页
vit.pdf 第3页
attention.pdf 第3页
vit.pdf 第3页
bert.pdf 第3页</x:v>
      </x:c>
    </x:row>
    <x:row r="6" ht="95" customHeight="1">
      <x:c r="A6" s="2" t="str">
        <x:v>纯向量</x:v>
      </x:c>
      <x:c r="B6" s="2" t="str">
        <x:v>attention-02-zh</x:v>
      </x:c>
      <x:c r="C6" s="2" t="str">
        <x:v>zh-&gt;en</x:v>
      </x:c>
      <x:c r="D6" s="2" t="str">
        <x:v>attention</x:v>
      </x:c>
      <x:c r="E6" s="19" t="str">
        <x:v>原始Transformer用了多少个注意力头，每个头的键和值维度是多少？</x:v>
      </x:c>
      <x:c r="F6" s="7" t="n">
        <x:v>1</x:v>
      </x:c>
      <x:c r="G6" s="7"/>
      <x:c r="H6" s="7" t="n">
        <x:v>0</x:v>
      </x:c>
      <x:c r="I6" s="20" t="n">
        <x:f>IF(H6&gt;0,1,0)</x:f>
        <x:v>0</x:v>
      </x:c>
      <x:c r="J6" s="8" t="n">
        <x:f>H6/F6</x:f>
        <x:v>0</x:v>
      </x:c>
      <x:c r="K6" s="9" t="n">
        <x:f>IF(G6="",0,1/G6)</x:f>
        <x:v>0</x:v>
      </x:c>
      <x:c r="L6" s="10" t="n">
        <x:v>17.363167000439717</x:v>
      </x:c>
      <x:c r="M6" s="10" t="n">
        <x:v>17.846375001681736</x:v>
      </x:c>
      <x:c r="N6" s="10" t="n">
        <x:v>17.181666997203138</x:v>
      </x:c>
      <x:c r="O6" s="10" t="n">
        <x:f>AVERAGE(L6:N6)</x:f>
        <x:v>17.463736333108198</x:v>
      </x:c>
      <x:c r="P6" s="19" t="str">
        <x:v>f5383d7d4ecb
df5f4497c074
2eef08fe507d
6b355fc3b900
40dfdb1c2e9f</x:v>
      </x:c>
      <x:c r="Q6" s="19" t="str">
        <x:v>vision_survey.pdf 第5页
vision_survey.pdf 第4页
vision_survey.pdf 第5页
vision_survey.pdf 第10页
vision_survey.pdf 第7页</x:v>
      </x:c>
    </x:row>
    <x:row r="7" ht="95" customHeight="1">
      <x:c r="A7" s="2" t="str">
        <x:v>纯向量</x:v>
      </x:c>
      <x:c r="B7" s="2" t="str">
        <x:v>attention-02-en</x:v>
      </x:c>
      <x:c r="C7" s="2" t="str">
        <x:v>en-&gt;en</x:v>
      </x:c>
      <x:c r="D7" s="2" t="str">
        <x:v>attention</x:v>
      </x:c>
      <x:c r="E7" s="19" t="str">
        <x:v>How many attention heads does the original Transformer use, and what are the key and value dimensions per head?</x:v>
      </x:c>
      <x:c r="F7" s="7" t="n">
        <x:v>1</x:v>
      </x:c>
      <x:c r="G7" s="7"/>
      <x:c r="H7" s="7" t="n">
        <x:v>0</x:v>
      </x:c>
      <x:c r="I7" s="20" t="n">
        <x:f>IF(H7&gt;0,1,0)</x:f>
        <x:v>0</x:v>
      </x:c>
      <x:c r="J7" s="8" t="n">
        <x:f>H7/F7</x:f>
        <x:v>0</x:v>
      </x:c>
      <x:c r="K7" s="9" t="n">
        <x:f>IF(G7="",0,1/G7)</x:f>
        <x:v>0</x:v>
      </x:c>
      <x:c r="L7" s="10" t="n">
        <x:v>21.729207997850608</x:v>
      </x:c>
      <x:c r="M7" s="10" t="n">
        <x:v>21.380166999733774</x:v>
      </x:c>
      <x:c r="N7" s="10" t="n">
        <x:v>22.466292000899557</x:v>
      </x:c>
      <x:c r="O7" s="10" t="n">
        <x:f>AVERAGE(L7:N7)</x:f>
        <x:v>21.858555666161312</x:v>
      </x:c>
      <x:c r="P7" s="19" t="str">
        <x:v>9d7aacec5476
ae6243042c19
92f8ad03bc04
3c0d73d07217
45f023e01607</x:v>
      </x:c>
      <x:c r="Q7" s="19" t="str">
        <x:v>attention.pdf 第5页
attention.pdf 第4页
attention.pdf 第3页
attention.pdf 第9页
attention.pdf 第2页</x:v>
      </x:c>
    </x:row>
    <x:row r="8" ht="95" customHeight="1">
      <x:c r="A8" s="2" t="str">
        <x:v>纯向量</x:v>
      </x:c>
      <x:c r="B8" s="2" t="str">
        <x:v>attention-03-zh</x:v>
      </x:c>
      <x:c r="C8" s="2" t="str">
        <x:v>zh-&gt;en</x:v>
      </x:c>
      <x:c r="D8" s="2" t="str">
        <x:v>attention</x:v>
      </x:c>
      <x:c r="E8" s="19" t="str">
        <x:v>Attention Is All You Need如何用三角函数表示序列位置？</x:v>
      </x:c>
      <x:c r="F8" s="7" t="n">
        <x:v>2</x:v>
      </x:c>
      <x:c r="G8" s="7"/>
      <x:c r="H8" s="7" t="n">
        <x:v>0</x:v>
      </x:c>
      <x:c r="I8" s="20" t="n">
        <x:f>IF(H8&gt;0,1,0)</x:f>
        <x:v>0</x:v>
      </x:c>
      <x:c r="J8" s="8" t="n">
        <x:f>H8/F8</x:f>
        <x:v>0</x:v>
      </x:c>
      <x:c r="K8" s="9" t="n">
        <x:f>IF(G8="",0,1/G8)</x:f>
        <x:v>0</x:v>
      </x:c>
      <x:c r="L8" s="10" t="n">
        <x:v>17.697792001854395</x:v>
      </x:c>
      <x:c r="M8" s="10" t="n">
        <x:v>17.63425000171992</x:v>
      </x:c>
      <x:c r="N8" s="10" t="n">
        <x:v>17.81575000131852</x:v>
      </x:c>
      <x:c r="O8" s="10" t="n">
        <x:f>AVERAGE(L8:N8)</x:f>
        <x:v>17.715930668297613</x:v>
      </x:c>
      <x:c r="P8" s="19" t="str">
        <x:v>2100dde8b1e3
b1be54a299af
6fa0d8afc8be
59c17d4c9b04
9d7aacec5476</x:v>
      </x:c>
      <x:c r="Q8" s="19" t="str">
        <x:v>vit.pdf 第21页
attention.pdf 第5页
attention.pdf 第6页
attention.pdf 第3页
attention.pdf 第5页</x:v>
      </x:c>
    </x:row>
    <x:row r="9" ht="95" customHeight="1">
      <x:c r="A9" s="2" t="str">
        <x:v>纯向量</x:v>
      </x:c>
      <x:c r="B9" s="2" t="str">
        <x:v>attention-03-en</x:v>
      </x:c>
      <x:c r="C9" s="2" t="str">
        <x:v>en-&gt;en</x:v>
      </x:c>
      <x:c r="D9" s="2" t="str">
        <x:v>attention</x:v>
      </x:c>
      <x:c r="E9" s="19" t="str">
        <x:v>How does Attention Is All You Need represent token positions with trigonometric functions?</x:v>
      </x:c>
      <x:c r="F9" s="7" t="n">
        <x:v>2</x:v>
      </x:c>
      <x:c r="G9" s="7"/>
      <x:c r="H9" s="7" t="n">
        <x:v>0</x:v>
      </x:c>
      <x:c r="I9" s="20" t="n">
        <x:f>IF(H9&gt;0,1,0)</x:f>
        <x:v>0</x:v>
      </x:c>
      <x:c r="J9" s="8" t="n">
        <x:f>H9/F9</x:f>
        <x:v>0</x:v>
      </x:c>
      <x:c r="K9" s="9" t="n">
        <x:f>IF(G9="",0,1/G9)</x:f>
        <x:v>0</x:v>
      </x:c>
      <x:c r="L9" s="10" t="n">
        <x:v>17.006415997457225</x:v>
      </x:c>
      <x:c r="M9" s="10" t="n">
        <x:v>17.42004199695657</x:v>
      </x:c>
      <x:c r="N9" s="10" t="n">
        <x:v>17.18020800035447</x:v>
      </x:c>
      <x:c r="O9" s="10" t="n">
        <x:f>AVERAGE(L9:N9)</x:f>
        <x:v>17.20222199825609</x:v>
      </x:c>
      <x:c r="P9" s="19" t="str">
        <x:v>260dae2cb298
e130dcce483a
9d7aacec5476
cd4d1ed5e0ec
fba1d724b223</x:v>
      </x:c>
      <x:c r="Q9" s="19" t="str">
        <x:v>vit.pdf 第16页
vit.pdf 第20页
attention.pdf 第5页
bert.pdf 第4页
bert.pdf 第4页</x:v>
      </x:c>
    </x:row>
    <x:row r="10" ht="95" customHeight="1">
      <x:c r="A10" s="2" t="str">
        <x:v>纯向量</x:v>
      </x:c>
      <x:c r="B10" s="2" t="str">
        <x:v>attention-04-zh</x:v>
      </x:c>
      <x:c r="C10" s="2" t="str">
        <x:v>zh-&gt;en</x:v>
      </x:c>
      <x:c r="D10" s="2" t="str">
        <x:v>attention</x:v>
      </x:c>
      <x:c r="E10" s="19" t="str">
        <x:v>Attention Is All You Need使用的优化器及两个动量参数是什么？</x:v>
      </x:c>
      <x:c r="F10" s="7" t="n">
        <x:v>1</x:v>
      </x:c>
      <x:c r="G10" s="7"/>
      <x:c r="H10" s="7" t="n">
        <x:v>0</x:v>
      </x:c>
      <x:c r="I10" s="20" t="n">
        <x:f>IF(H10&gt;0,1,0)</x:f>
        <x:v>0</x:v>
      </x:c>
      <x:c r="J10" s="8" t="n">
        <x:f>H10/F10</x:f>
        <x:v>0</x:v>
      </x:c>
      <x:c r="K10" s="9" t="n">
        <x:f>IF(G10="",0,1/G10)</x:f>
        <x:v>0</x:v>
      </x:c>
      <x:c r="L10" s="10" t="n">
        <x:v>17.81074999962584</x:v>
      </x:c>
      <x:c r="M10" s="10" t="n">
        <x:v>17.63129100072547</x:v>
      </x:c>
      <x:c r="N10" s="10" t="n">
        <x:v>17.448209000576753</x:v>
      </x:c>
      <x:c r="O10" s="10" t="n">
        <x:f>AVERAGE(L10:N10)</x:f>
        <x:v>17.630083333642688</x:v>
      </x:c>
      <x:c r="P10" s="19" t="str">
        <x:v>9d7aacec5476
13c82fbbc8a5
d3fc82a0a82c
7f1d6111d701
a4762fa16ea8</x:v>
      </x:c>
      <x:c r="Q10" s="19" t="str">
        <x:v>attention.pdf 第5页
attention.pdf 第4页
attention.pdf 第4页
vit.pdf 第19页
vit.pdf 第8页</x:v>
      </x:c>
    </x:row>
    <x:row r="11" ht="95" customHeight="1">
      <x:c r="A11" s="2" t="str">
        <x:v>纯向量</x:v>
      </x:c>
      <x:c r="B11" s="2" t="str">
        <x:v>attention-04-en</x:v>
      </x:c>
      <x:c r="C11" s="2" t="str">
        <x:v>en-&gt;en</x:v>
      </x:c>
      <x:c r="D11" s="2" t="str">
        <x:v>attention</x:v>
      </x:c>
      <x:c r="E11" s="19" t="str">
        <x:v>Which optimizer and two beta parameters are used in Attention Is All You Need?</x:v>
      </x:c>
      <x:c r="F11" s="7" t="n">
        <x:v>1</x:v>
      </x:c>
      <x:c r="G11" s="7"/>
      <x:c r="H11" s="7" t="n">
        <x:v>0</x:v>
      </x:c>
      <x:c r="I11" s="20" t="n">
        <x:f>IF(H11&gt;0,1,0)</x:f>
        <x:v>0</x:v>
      </x:c>
      <x:c r="J11" s="8" t="n">
        <x:f>H11/F11</x:f>
        <x:v>0</x:v>
      </x:c>
      <x:c r="K11" s="9" t="n">
        <x:f>IF(G11="",0,1/G11)</x:f>
        <x:v>0</x:v>
      </x:c>
      <x:c r="L11" s="10" t="n">
        <x:v>18.034291999356356</x:v>
      </x:c>
      <x:c r="M11" s="10" t="n">
        <x:v>17.863041000964586</x:v>
      </x:c>
      <x:c r="N11" s="10" t="n">
        <x:v>17.73283399961656</x:v>
      </x:c>
      <x:c r="O11" s="10" t="n">
        <x:f>AVERAGE(L11:N11)</x:f>
        <x:v>17.8767223333125</x:v>
      </x:c>
      <x:c r="P11" s="19" t="str">
        <x:v>7f1d6111d701
a4762fa16ea8
d3fc82a0a82c
9d7aacec5476
f0ee92251d85</x:v>
      </x:c>
      <x:c r="Q11" s="19" t="str">
        <x:v>vit.pdf 第19页
vit.pdf 第8页
attention.pdf 第4页
attention.pdf 第5页
attention.pdf 第2页</x:v>
      </x:c>
    </x:row>
    <x:row r="12" ht="95" customHeight="1">
      <x:c r="A12" s="2" t="str">
        <x:v>纯向量</x:v>
      </x:c>
      <x:c r="B12" s="2" t="str">
        <x:v>attention-05-zh</x:v>
      </x:c>
      <x:c r="C12" s="2" t="str">
        <x:v>zh-&gt;en</x:v>
      </x:c>
      <x:c r="D12" s="2" t="str">
        <x:v>attention</x:v>
      </x:c>
      <x:c r="E12" s="19" t="str">
        <x:v>Attention Is All You Need使用多大的标签平滑值，它对困惑度和BLEU有何影响？</x:v>
      </x:c>
      <x:c r="F12" s="7" t="n">
        <x:v>1</x:v>
      </x:c>
      <x:c r="G12" s="7"/>
      <x:c r="H12" s="7" t="n">
        <x:v>0</x:v>
      </x:c>
      <x:c r="I12" s="20" t="n">
        <x:f>IF(H12&gt;0,1,0)</x:f>
        <x:v>0</x:v>
      </x:c>
      <x:c r="J12" s="8" t="n">
        <x:f>H12/F12</x:f>
        <x:v>0</x:v>
      </x:c>
      <x:c r="K12" s="9" t="n">
        <x:f>IF(G12="",0,1/G12)</x:f>
        <x:v>0</x:v>
      </x:c>
      <x:c r="L12" s="10" t="n">
        <x:v>22.016625000105705</x:v>
      </x:c>
      <x:c r="M12" s="10" t="n">
        <x:v>21.66120800029603</x:v>
      </x:c>
      <x:c r="N12" s="10" t="n">
        <x:v>21.7495830002008</x:v>
      </x:c>
      <x:c r="O12" s="10" t="n">
        <x:f>AVERAGE(L12:N12)</x:f>
        <x:v>21.80913866686751</x:v>
      </x:c>
      <x:c r="P12" s="19" t="str">
        <x:v>3c0d73d07217
655ac0da640d
ea6aadd549ae
a4762fa16ea8
18622ae0815c</x:v>
      </x:c>
      <x:c r="Q12" s="19" t="str">
        <x:v>attention.pdf 第9页
vit.pdf 第20页
vit.pdf 第17页
vit.pdf 第8页
attention.pdf 第13页</x:v>
      </x:c>
    </x:row>
    <x:row r="13" ht="95" customHeight="1">
      <x:c r="A13" s="2" t="str">
        <x:v>纯向量</x:v>
      </x:c>
      <x:c r="B13" s="2" t="str">
        <x:v>attention-05-en</x:v>
      </x:c>
      <x:c r="C13" s="2" t="str">
        <x:v>en-&gt;en</x:v>
      </x:c>
      <x:c r="D13" s="2" t="str">
        <x:v>attention</x:v>
      </x:c>
      <x:c r="E13" s="19" t="str">
        <x:v>What label smoothing value is used in Attention Is All You Need, and how does it affect perplexity and BLEU?</x:v>
      </x:c>
      <x:c r="F13" s="7" t="n">
        <x:v>1</x:v>
      </x:c>
      <x:c r="G13" s="7"/>
      <x:c r="H13" s="7" t="n">
        <x:v>0</x:v>
      </x:c>
      <x:c r="I13" s="20" t="n">
        <x:f>IF(H13&gt;0,1,0)</x:f>
        <x:v>0</x:v>
      </x:c>
      <x:c r="J13" s="8" t="n">
        <x:f>H13/F13</x:f>
        <x:v>0</x:v>
      </x:c>
      <x:c r="K13" s="9" t="n">
        <x:f>IF(G13="",0,1/G13)</x:f>
        <x:v>0</x:v>
      </x:c>
      <x:c r="L13" s="10" t="n">
        <x:v>22.194958000909537</x:v>
      </x:c>
      <x:c r="M13" s="10" t="n">
        <x:v>21.812999999383464</x:v>
      </x:c>
      <x:c r="N13" s="10" t="n">
        <x:v>21.648291000019526</x:v>
      </x:c>
      <x:c r="O13" s="10" t="n">
        <x:f>AVERAGE(L13:N13)</x:f>
        <x:v>21.885416333437508</x:v>
      </x:c>
      <x:c r="P13" s="19" t="str">
        <x:v>158a4fb565fd
655ac0da640d
13c82fbbc8a5
0687e5649013
d3fc82a0a82c</x:v>
      </x:c>
      <x:c r="Q13" s="19" t="str">
        <x:v>bert.pdf 第13页
vit.pdf 第20页
attention.pdf 第4页
attention.pdf 第1页
attention.pdf 第4页</x:v>
      </x:c>
    </x:row>
    <x:row r="14" ht="95" customHeight="1">
      <x:c r="A14" s="2" t="str">
        <x:v>纯向量</x:v>
      </x:c>
      <x:c r="B14" s="2" t="str">
        <x:v>attention-06-zh</x:v>
      </x:c>
      <x:c r="C14" s="2" t="str">
        <x:v>zh-&gt;en</x:v>
      </x:c>
      <x:c r="D14" s="2" t="str">
        <x:v>attention</x:v>
      </x:c>
      <x:c r="E14" s="19" t="str">
        <x:v>原始Transformer解码器怎样避免看到尚未生成的词？</x:v>
      </x:c>
      <x:c r="F14" s="7" t="n">
        <x:v>2</x:v>
      </x:c>
      <x:c r="G14" s="7"/>
      <x:c r="H14" s="7" t="n">
        <x:v>0</x:v>
      </x:c>
      <x:c r="I14" s="20" t="n">
        <x:f>IF(H14&gt;0,1,0)</x:f>
        <x:v>0</x:v>
      </x:c>
      <x:c r="J14" s="8" t="n">
        <x:f>H14/F14</x:f>
        <x:v>0</x:v>
      </x:c>
      <x:c r="K14" s="9" t="n">
        <x:f>IF(G14="",0,1/G14)</x:f>
        <x:v>0</x:v>
      </x:c>
      <x:c r="L14" s="10" t="n">
        <x:v>16.754624997702194</x:v>
      </x:c>
      <x:c r="M14" s="10" t="n">
        <x:v>17.331040999124525</x:v>
      </x:c>
      <x:c r="N14" s="10" t="n">
        <x:v>18.062167000607587</x:v>
      </x:c>
      <x:c r="O14" s="10" t="n">
        <x:f>AVERAGE(L14:N14)</x:f>
        <x:v>17.38261099914477</x:v>
      </x:c>
      <x:c r="P14" s="19" t="str">
        <x:v>d60fcd987e92
2eef08fe507d
468f8bc26e15
6eab2dd1fd9a
132453b8955b</x:v>
      </x:c>
      <x:c r="Q14" s="19" t="str">
        <x:v>attention.pdf 第2页
vision_survey.pdf 第5页
vision_survey.pdf 第20页
vision_survey.pdf 第12页
vision_survey.pdf 第12页</x:v>
      </x:c>
    </x:row>
    <x:row r="15" ht="95" customHeight="1">
      <x:c r="A15" s="2" t="str">
        <x:v>纯向量</x:v>
      </x:c>
      <x:c r="B15" s="2" t="str">
        <x:v>attention-06-en</x:v>
      </x:c>
      <x:c r="C15" s="2" t="str">
        <x:v>en-&gt;en</x:v>
      </x:c>
      <x:c r="D15" s="2" t="str">
        <x:v>attention</x:v>
      </x:c>
      <x:c r="E15" s="19" t="str">
        <x:v>How does the original Transformer decoder prevent attending to future tokens?</x:v>
      </x:c>
      <x:c r="F15" s="7" t="n">
        <x:v>2</x:v>
      </x:c>
      <x:c r="G15" s="7"/>
      <x:c r="H15" s="7" t="n">
        <x:v>0</x:v>
      </x:c>
      <x:c r="I15" s="20" t="n">
        <x:f>IF(H15&gt;0,1,0)</x:f>
        <x:v>0</x:v>
      </x:c>
      <x:c r="J15" s="8" t="n">
        <x:f>H15/F15</x:f>
        <x:v>0</x:v>
      </x:c>
      <x:c r="K15" s="9" t="n">
        <x:f>IF(G15="",0,1/G15)</x:f>
        <x:v>0</x:v>
      </x:c>
      <x:c r="L15" s="10" t="n">
        <x:v>16.89362499746494</x:v>
      </x:c>
      <x:c r="M15" s="10" t="n">
        <x:v>17.531915997096803</x:v>
      </x:c>
      <x:c r="N15" s="10" t="n">
        <x:v>17.49329200174543</x:v>
      </x:c>
      <x:c r="O15" s="10" t="n">
        <x:f>AVERAGE(L15:N15)</x:f>
        <x:v>17.306277665435726</x:v>
      </x:c>
      <x:c r="P15" s="19" t="str">
        <x:v>9d7aacec5476
9e9acdbba6f7
260dae2cb298
cb2ec49df556
76c144c18e9a</x:v>
      </x:c>
      <x:c r="Q15" s="19" t="str">
        <x:v>attention.pdf 第5页
vit.pdf 第3页
vit.pdf 第16页
bert.pdf 第1页
attention.pdf 第10页</x:v>
      </x:c>
    </x:row>
    <x:row r="16" ht="95" customHeight="1">
      <x:c r="A16" s="2" t="str">
        <x:v>纯向量</x:v>
      </x:c>
      <x:c r="B16" s="2" t="str">
        <x:v>attention-07-zh</x:v>
      </x:c>
      <x:c r="C16" s="2" t="str">
        <x:v>zh-&gt;en</x:v>
      </x:c>
      <x:c r="D16" s="2" t="str">
        <x:v>attention</x:v>
      </x:c>
      <x:c r="E16" s="19" t="str">
        <x:v>Attention Is All You Need的英法训练集规模和词表大小分别是多少？</x:v>
      </x:c>
      <x:c r="F16" s="7" t="n">
        <x:v>1</x:v>
      </x:c>
      <x:c r="G16" s="7" t="n">
        <x:v>2</x:v>
      </x:c>
      <x:c r="H16" s="7" t="n">
        <x:v>1</x:v>
      </x:c>
      <x:c r="I16" s="20" t="n">
        <x:f>IF(H16&gt;0,1,0)</x:f>
        <x:v>1</x:v>
      </x:c>
      <x:c r="J16" s="8" t="n">
        <x:f>H16/F16</x:f>
        <x:v>1</x:v>
      </x:c>
      <x:c r="K16" s="9" t="n">
        <x:f>IF(G16="",0,1/G16)</x:f>
        <x:v>0.5</x:v>
      </x:c>
      <x:c r="L16" s="10" t="n">
        <x:v>18.037707999610575</x:v>
      </x:c>
      <x:c r="M16" s="10" t="n">
        <x:v>17.901625000376953</x:v>
      </x:c>
      <x:c r="N16" s="10" t="n">
        <x:v>17.824374997871928</x:v>
      </x:c>
      <x:c r="O16" s="10" t="n">
        <x:f>AVERAGE(L16:N16)</x:f>
        <x:v>17.921235999286484</x:v>
      </x:c>
      <x:c r="P16" s="19" t="str">
        <x:v>7a41f9367af3
9047ed5ba1da
2a551a2cc259
9236abd98e0b
e667ca60ae65</x:v>
      </x:c>
      <x:c r="Q16" s="19" t="str">
        <x:v>attention.pdf 第7页
attention.pdf 第7页
attention.pdf 第10页
attention.pdf 第10页
attention.pdf 第1页</x:v>
      </x:c>
    </x:row>
    <x:row r="17" ht="95" customHeight="1">
      <x:c r="A17" s="2" t="str">
        <x:v>纯向量</x:v>
      </x:c>
      <x:c r="B17" s="2" t="str">
        <x:v>attention-07-en</x:v>
      </x:c>
      <x:c r="C17" s="2" t="str">
        <x:v>en-&gt;en</x:v>
      </x:c>
      <x:c r="D17" s="2" t="str">
        <x:v>attention</x:v>
      </x:c>
      <x:c r="E17" s="19" t="str">
        <x:v>What are the English-French training corpus size and vocabulary size in Attention Is All You Need?</x:v>
      </x:c>
      <x:c r="F17" s="7" t="n">
        <x:v>1</x:v>
      </x:c>
      <x:c r="G17" s="7"/>
      <x:c r="H17" s="7" t="n">
        <x:v>0</x:v>
      </x:c>
      <x:c r="I17" s="20" t="n">
        <x:f>IF(H17&gt;0,1,0)</x:f>
        <x:v>0</x:v>
      </x:c>
      <x:c r="J17" s="8" t="n">
        <x:f>H17/F17</x:f>
        <x:v>0</x:v>
      </x:c>
      <x:c r="K17" s="9" t="n">
        <x:f>IF(G17="",0,1/G17)</x:f>
        <x:v>0</x:v>
      </x:c>
      <x:c r="L17" s="10" t="n">
        <x:v>21.9334159992286</x:v>
      </x:c>
      <x:c r="M17" s="10" t="n">
        <x:v>21.660667000105605</x:v>
      </x:c>
      <x:c r="N17" s="10" t="n">
        <x:v>21.56562500022119</x:v>
      </x:c>
      <x:c r="O17" s="10" t="n">
        <x:f>AVERAGE(L17:N17)</x:f>
        <x:v>21.719902666518465</x:v>
      </x:c>
      <x:c r="P17" s="19" t="str">
        <x:v>3eaef451b505
7a41f9367af3
6c550dc102dc
f000313f31e5
9a42ec0d16c8</x:v>
      </x:c>
      <x:c r="Q17" s="19" t="str">
        <x:v>bert.pdf 第5页
attention.pdf 第7页
bert.pdf 第8页
bert.pdf 第13页
attention.pdf 第8页</x:v>
      </x:c>
    </x:row>
    <x:row r="18" ht="95" customHeight="1">
      <x:c r="A18" s="2" t="str">
        <x:v>纯向量</x:v>
      </x:c>
      <x:c r="B18" s="2" t="str">
        <x:v>attention-08-zh</x:v>
      </x:c>
      <x:c r="C18" s="2" t="str">
        <x:v>zh-&gt;en</x:v>
      </x:c>
      <x:c r="D18" s="2" t="str">
        <x:v>attention</x:v>
      </x:c>
      <x:c r="E18" s="19" t="str">
        <x:v>原始Transformer的子层输出如何结合残差连接与归一化？</x:v>
      </x:c>
      <x:c r="F18" s="7" t="n">
        <x:v>1</x:v>
      </x:c>
      <x:c r="G18" s="7"/>
      <x:c r="H18" s="7" t="n">
        <x:v>0</x:v>
      </x:c>
      <x:c r="I18" s="20" t="n">
        <x:f>IF(H18&gt;0,1,0)</x:f>
        <x:v>0</x:v>
      </x:c>
      <x:c r="J18" s="8" t="n">
        <x:f>H18/F18</x:f>
        <x:v>0</x:v>
      </x:c>
      <x:c r="K18" s="9" t="n">
        <x:f>IF(G18="",0,1/G18)</x:f>
        <x:v>0</x:v>
      </x:c>
      <x:c r="L18" s="10" t="n">
        <x:v>17.79750000059721</x:v>
      </x:c>
      <x:c r="M18" s="10" t="n">
        <x:v>18.57262499834178</x:v>
      </x:c>
      <x:c r="N18" s="10" t="n">
        <x:v>17.453749998821877</x:v>
      </x:c>
      <x:c r="O18" s="10" t="n">
        <x:f>AVERAGE(L18:N18)</x:f>
        <x:v>17.94129166592029</x:v>
      </x:c>
      <x:c r="P18" s="19" t="str">
        <x:v>1ac4c718865d
132453b8955b
6eab2dd1fd9a
62413fdcc435
81d21be78a3e</x:v>
      </x:c>
      <x:c r="Q18" s="19" t="str">
        <x:v>vision_survey.pdf 第5页
vision_survey.pdf 第12页
vision_survey.pdf 第12页
vision_survey.pdf 第3页
attention.pdf 第5页</x:v>
      </x:c>
    </x:row>
    <x:row r="19" ht="95" customHeight="1">
      <x:c r="A19" s="2" t="str">
        <x:v>纯向量</x:v>
      </x:c>
      <x:c r="B19" s="2" t="str">
        <x:v>attention-08-en</x:v>
      </x:c>
      <x:c r="C19" s="2" t="str">
        <x:v>en-&gt;en</x:v>
      </x:c>
      <x:c r="D19" s="2" t="str">
        <x:v>attention</x:v>
      </x:c>
      <x:c r="E19" s="19" t="str">
        <x:v>How are residual connections and normalization combined around sublayers in the original Transformer?</x:v>
      </x:c>
      <x:c r="F19" s="7" t="n">
        <x:v>1</x:v>
      </x:c>
      <x:c r="G19" s="7" t="n">
        <x:v>1</x:v>
      </x:c>
      <x:c r="H19" s="7" t="n">
        <x:v>1</x:v>
      </x:c>
      <x:c r="I19" s="20" t="n">
        <x:f>IF(H19&gt;0,1,0)</x:f>
        <x:v>1</x:v>
      </x:c>
      <x:c r="J19" s="8" t="n">
        <x:f>H19/F19</x:f>
        <x:v>1</x:v>
      </x:c>
      <x:c r="K19" s="9" t="n">
        <x:f>IF(G19="",0,1/G19)</x:f>
        <x:v>1</x:v>
      </x:c>
      <x:c r="L19" s="10" t="n">
        <x:v>22.10404200013727</x:v>
      </x:c>
      <x:c r="M19" s="10" t="n">
        <x:v>21.42341700164252</x:v>
      </x:c>
      <x:c r="N19" s="10" t="n">
        <x:v>21.591624998109182</x:v>
      </x:c>
      <x:c r="O19" s="10" t="n">
        <x:f>AVERAGE(L19:N19)</x:f>
        <x:v>21.706361333296325</x:v>
      </x:c>
      <x:c r="P19" s="19" t="str">
        <x:v>3886ea477e1a
061049af4729
92f8ad03bc04
d0396c60a0a1
cacfd61ab6f7</x:v>
      </x:c>
      <x:c r="Q19" s="19" t="str">
        <x:v>attention.pdf 第3页
attention.pdf 第8页
attention.pdf 第3页
attention.pdf 第8页
vit.pdf 第7页</x:v>
      </x:c>
    </x:row>
    <x:row r="20" ht="95" customHeight="1">
      <x:c r="A20" s="2" t="str">
        <x:v>纯向量</x:v>
      </x:c>
      <x:c r="B20" s="2" t="str">
        <x:v>bert-01-zh</x:v>
      </x:c>
      <x:c r="C20" s="2" t="str">
        <x:v>zh-&gt;en</x:v>
      </x:c>
      <x:c r="D20" s="2" t="str">
        <x:v>bert</x:v>
      </x:c>
      <x:c r="E20" s="19" t="str">
        <x:v>BERT-base和BERT-large分别有多少层、隐藏维度和注意力头？</x:v>
      </x:c>
      <x:c r="F20" s="7" t="n">
        <x:v>1</x:v>
      </x:c>
      <x:c r="G20" s="7" t="n">
        <x:v>3</x:v>
      </x:c>
      <x:c r="H20" s="7" t="n">
        <x:v>1</x:v>
      </x:c>
      <x:c r="I20" s="20" t="n">
        <x:f>IF(H20&gt;0,1,0)</x:f>
        <x:v>1</x:v>
      </x:c>
      <x:c r="J20" s="8" t="n">
        <x:f>H20/F20</x:f>
        <x:v>1</x:v>
      </x:c>
      <x:c r="K20" s="9" t="n">
        <x:f>IF(G20="",0,1/G20)</x:f>
        <x:v>0.3333333333333333</x:v>
      </x:c>
      <x:c r="L20" s="10" t="n">
        <x:v>18.07879199986928</x:v>
      </x:c>
      <x:c r="M20" s="10" t="n">
        <x:v>18.126292001397815</x:v>
      </x:c>
      <x:c r="N20" s="10" t="n">
        <x:v>18.035208002402214</x:v>
      </x:c>
      <x:c r="O20" s="10" t="n">
        <x:f>AVERAGE(L20:N20)</x:f>
        <x:v>18.080097334556438</x:v>
      </x:c>
      <x:c r="P20" s="19" t="str">
        <x:v>101db84f6127
e8ef5be7b5cc
33c362adeeae
8ad1833e576c
ecc9b344943d</x:v>
      </x:c>
      <x:c r="Q20" s="19" t="str">
        <x:v>bert.pdf 第6页
bert.pdf 第3页
bert.pdf 第3页
bert.pdf 第6页
vit.pdf 第5页</x:v>
      </x:c>
    </x:row>
    <x:row r="21" ht="95" customHeight="1">
      <x:c r="A21" s="2" t="str">
        <x:v>纯向量</x:v>
      </x:c>
      <x:c r="B21" s="2" t="str">
        <x:v>bert-01-en</x:v>
      </x:c>
      <x:c r="C21" s="2" t="str">
        <x:v>en-&gt;en</x:v>
      </x:c>
      <x:c r="D21" s="2" t="str">
        <x:v>bert</x:v>
      </x:c>
      <x:c r="E21" s="19" t="str">
        <x:v>What are the layer counts, hidden sizes, and attention head counts of BERT-base and BERT-large?</x:v>
      </x:c>
      <x:c r="F21" s="7" t="n">
        <x:v>1</x:v>
      </x:c>
      <x:c r="G21" s="7" t="n">
        <x:v>1</x:v>
      </x:c>
      <x:c r="H21" s="7" t="n">
        <x:v>1</x:v>
      </x:c>
      <x:c r="I21" s="20" t="n">
        <x:f>IF(H21&gt;0,1,0)</x:f>
        <x:v>1</x:v>
      </x:c>
      <x:c r="J21" s="8" t="n">
        <x:f>H21/F21</x:f>
        <x:v>1</x:v>
      </x:c>
      <x:c r="K21" s="9" t="n">
        <x:f>IF(G21="",0,1/G21)</x:f>
        <x:v>1</x:v>
      </x:c>
      <x:c r="L21" s="10" t="n">
        <x:v>21.591832999547478</x:v>
      </x:c>
      <x:c r="M21" s="10" t="n">
        <x:v>21.508957997866673</x:v>
      </x:c>
      <x:c r="N21" s="10" t="n">
        <x:v>21.75008400081424</x:v>
      </x:c>
      <x:c r="O21" s="10" t="n">
        <x:f>AVERAGE(L21:N21)</x:f>
        <x:v>21.616958332742797</x:v>
      </x:c>
      <x:c r="P21" s="19" t="str">
        <x:v>33c362adeeae
6bf22889f352
18622ae0815c
a2ca82d82b71
16aa2340c4ce</x:v>
      </x:c>
      <x:c r="Q21" s="19" t="str">
        <x:v>bert.pdf 第3页
attention.pdf 第3页
attention.pdf 第13页
bert.pdf 第9页
bert.pdf 第9页</x:v>
      </x:c>
    </x:row>
    <x:row r="22" ht="95" customHeight="1">
      <x:c r="A22" s="2" t="str">
        <x:v>纯向量</x:v>
      </x:c>
      <x:c r="B22" s="2" t="str">
        <x:v>bert-02-zh</x:v>
      </x:c>
      <x:c r="C22" s="2" t="str">
        <x:v>zh-&gt;en</x:v>
      </x:c>
      <x:c r="D22" s="2" t="str">
        <x:v>bert</x:v>
      </x:c>
      <x:c r="E22" s="19" t="str">
        <x:v>BERT采用什么分词表示及多大的词表？</x:v>
      </x:c>
      <x:c r="F22" s="7" t="n">
        <x:v>1</x:v>
      </x:c>
      <x:c r="G22" s="7"/>
      <x:c r="H22" s="7" t="n">
        <x:v>0</x:v>
      </x:c>
      <x:c r="I22" s="20" t="n">
        <x:f>IF(H22&gt;0,1,0)</x:f>
        <x:v>0</x:v>
      </x:c>
      <x:c r="J22" s="8" t="n">
        <x:f>H22/F22</x:f>
        <x:v>0</x:v>
      </x:c>
      <x:c r="K22" s="9" t="n">
        <x:f>IF(G22="",0,1/G22)</x:f>
        <x:v>0</x:v>
      </x:c>
      <x:c r="L22" s="10" t="n">
        <x:v>17.797541000618367</x:v>
      </x:c>
      <x:c r="M22" s="10" t="n">
        <x:v>19.657290999020915</x:v>
      </x:c>
      <x:c r="N22" s="10" t="n">
        <x:v>17.399457999999868</x:v>
      </x:c>
      <x:c r="O22" s="10" t="n">
        <x:f>AVERAGE(L22:N22)</x:f>
        <x:v>18.28476333321305</x:v>
      </x:c>
      <x:c r="P22" s="19" t="str">
        <x:v>6b9fb5b55ed5
200f791f11fd
22799dc751ee
a2ca82d82b71
fba246bd83a5</x:v>
      </x:c>
      <x:c r="Q22" s="19" t="str">
        <x:v>bert.pdf 第14页
bert.pdf 第15页
bert.pdf 第15页
bert.pdf 第9页
bert.pdf 第13页</x:v>
      </x:c>
    </x:row>
    <x:row r="23" ht="95" customHeight="1">
      <x:c r="A23" s="2" t="str">
        <x:v>纯向量</x:v>
      </x:c>
      <x:c r="B23" s="2" t="str">
        <x:v>bert-02-en</x:v>
      </x:c>
      <x:c r="C23" s="2" t="str">
        <x:v>en-&gt;en</x:v>
      </x:c>
      <x:c r="D23" s="2" t="str">
        <x:v>bert</x:v>
      </x:c>
      <x:c r="E23" s="19" t="str">
        <x:v>Which token representation does BERT use and how large is its vocabulary?</x:v>
      </x:c>
      <x:c r="F23" s="7" t="n">
        <x:v>1</x:v>
      </x:c>
      <x:c r="G23" s="7" t="n">
        <x:v>2</x:v>
      </x:c>
      <x:c r="H23" s="7" t="n">
        <x:v>1</x:v>
      </x:c>
      <x:c r="I23" s="20" t="n">
        <x:f>IF(H23&gt;0,1,0)</x:f>
        <x:v>1</x:v>
      </x:c>
      <x:c r="J23" s="8" t="n">
        <x:f>H23/F23</x:f>
        <x:v>1</x:v>
      </x:c>
      <x:c r="K23" s="9" t="n">
        <x:f>IF(G23="",0,1/G23)</x:f>
        <x:v>0.5</x:v>
      </x:c>
      <x:c r="L23" s="10" t="n">
        <x:v>18.11874999839347</x:v>
      </x:c>
      <x:c r="M23" s="10" t="n">
        <x:v>17.73887500166893</x:v>
      </x:c>
      <x:c r="N23" s="10" t="n">
        <x:v>17.634333999012597</x:v>
      </x:c>
      <x:c r="O23" s="10" t="n">
        <x:f>AVERAGE(L23:N23)</x:f>
        <x:v>17.830652999691665</x:v>
      </x:c>
      <x:c r="P23" s="19" t="str">
        <x:v>a2ca82d82b71
e9341b201c3a
6b9fb5b55ed5
da747c81d585
f106e1ebcbfa</x:v>
      </x:c>
      <x:c r="Q23" s="19" t="str">
        <x:v>bert.pdf 第9页
bert.pdf 第4页
bert.pdf 第14页
bert.pdf 第4页
bert.pdf 第2页</x:v>
      </x:c>
    </x:row>
    <x:row r="24" ht="95" customHeight="1">
      <x:c r="A24" s="2" t="str">
        <x:v>纯向量</x:v>
      </x:c>
      <x:c r="B24" s="2" t="str">
        <x:v>bert-03-zh</x:v>
      </x:c>
      <x:c r="C24" s="2" t="str">
        <x:v>zh-&gt;en</x:v>
      </x:c>
      <x:c r="D24" s="2" t="str">
        <x:v>bert</x:v>
      </x:c>
      <x:c r="E24" s="19" t="str">
        <x:v>BERT掩码语言模型选取多大比例的词元用于预测？</x:v>
      </x:c>
      <x:c r="F24" s="7" t="n">
        <x:v>1</x:v>
      </x:c>
      <x:c r="G24" s="7"/>
      <x:c r="H24" s="7" t="n">
        <x:v>0</x:v>
      </x:c>
      <x:c r="I24" s="20" t="n">
        <x:f>IF(H24&gt;0,1,0)</x:f>
        <x:v>0</x:v>
      </x:c>
      <x:c r="J24" s="8" t="n">
        <x:f>H24/F24</x:f>
        <x:v>0</x:v>
      </x:c>
      <x:c r="K24" s="9" t="n">
        <x:f>IF(G24="",0,1/G24)</x:f>
        <x:v>0</x:v>
      </x:c>
      <x:c r="L24" s="10" t="n">
        <x:v>17.02037499853759</x:v>
      </x:c>
      <x:c r="M24" s="10" t="n">
        <x:v>17.57566699961899</x:v>
      </x:c>
      <x:c r="N24" s="10" t="n">
        <x:v>17.54020800217404</x:v>
      </x:c>
      <x:c r="O24" s="10" t="n">
        <x:f>AVERAGE(L24:N24)</x:f>
        <x:v>17.378750000110205</x:v>
      </x:c>
      <x:c r="P24" s="19" t="str">
        <x:v>e7dea37c0f03
076b3f1b7521
a011ab3c992d
164a68ba9cb5
94c50374af3a</x:v>
      </x:c>
      <x:c r="Q24" s="19" t="str">
        <x:v>bert.pdf 第9页
attention.pdf 第9页
bert.pdf 第1页
bert.pdf 第13页
bert.pdf 第1页</x:v>
      </x:c>
    </x:row>
    <x:row r="25" ht="95" customHeight="1">
      <x:c r="A25" s="2" t="str">
        <x:v>纯向量</x:v>
      </x:c>
      <x:c r="B25" s="2" t="str">
        <x:v>bert-03-en</x:v>
      </x:c>
      <x:c r="C25" s="2" t="str">
        <x:v>en-&gt;en</x:v>
      </x:c>
      <x:c r="D25" s="2" t="str">
        <x:v>bert</x:v>
      </x:c>
      <x:c r="E25" s="19" t="str">
        <x:v>What proportion of tokens is selected for prediction in BERT masked language modeling?</x:v>
      </x:c>
      <x:c r="F25" s="7" t="n">
        <x:v>1</x:v>
      </x:c>
      <x:c r="G25" s="7"/>
      <x:c r="H25" s="7" t="n">
        <x:v>0</x:v>
      </x:c>
      <x:c r="I25" s="20" t="n">
        <x:f>IF(H25&gt;0,1,0)</x:f>
        <x:v>0</x:v>
      </x:c>
      <x:c r="J25" s="8" t="n">
        <x:f>H25/F25</x:f>
        <x:v>0</x:v>
      </x:c>
      <x:c r="K25" s="9" t="n">
        <x:f>IF(G25="",0,1/G25)</x:f>
        <x:v>0</x:v>
      </x:c>
      <x:c r="L25" s="10" t="n">
        <x:v>17.692334000457777</x:v>
      </x:c>
      <x:c r="M25" s="10" t="n">
        <x:v>17.25645899932715</x:v>
      </x:c>
      <x:c r="N25" s="10" t="n">
        <x:v>17.61629099928541</x:v>
      </x:c>
      <x:c r="O25" s="10" t="n">
        <x:f>AVERAGE(L25:N25)</x:f>
        <x:v>17.52169466635678</x:v>
      </x:c>
      <x:c r="P25" s="19" t="str">
        <x:v>b081197273f9
1c9c1a798c6f
d424e63fbb7f
cd4d1ed5e0ec
4e6906140b7f</x:v>
      </x:c>
      <x:c r="Q25" s="19" t="str">
        <x:v>bert.pdf 第12页
bert.pdf 第16页
bert.pdf 第2页
bert.pdf 第4页
bert.pdf 第1页</x:v>
      </x:c>
    </x:row>
    <x:row r="26" ht="95" customHeight="1">
      <x:c r="A26" s="2" t="str">
        <x:v>纯向量</x:v>
      </x:c>
      <x:c r="B26" s="2" t="str">
        <x:v>bert-04-zh</x:v>
      </x:c>
      <x:c r="C26" s="2" t="str">
        <x:v>zh-&gt;en</x:v>
      </x:c>
      <x:c r="D26" s="2" t="str">
        <x:v>bert</x:v>
      </x:c>
      <x:c r="E26" s="19" t="str">
        <x:v>BERT被选中的词元分别如何替换，三种情况比例是多少？</x:v>
      </x:c>
      <x:c r="F26" s="7" t="n">
        <x:v>1</x:v>
      </x:c>
      <x:c r="G26" s="7"/>
      <x:c r="H26" s="7" t="n">
        <x:v>0</x:v>
      </x:c>
      <x:c r="I26" s="20" t="n">
        <x:f>IF(H26&gt;0,1,0)</x:f>
        <x:v>0</x:v>
      </x:c>
      <x:c r="J26" s="8" t="n">
        <x:f>H26/F26</x:f>
        <x:v>0</x:v>
      </x:c>
      <x:c r="K26" s="9" t="n">
        <x:f>IF(G26="",0,1/G26)</x:f>
        <x:v>0</x:v>
      </x:c>
      <x:c r="L26" s="10" t="n">
        <x:v>17.78299999932642</x:v>
      </x:c>
      <x:c r="M26" s="10" t="n">
        <x:v>17.752207997546066</x:v>
      </x:c>
      <x:c r="N26" s="10" t="n">
        <x:v>17.629209000006085</x:v>
      </x:c>
      <x:c r="O26" s="10" t="n">
        <x:f>AVERAGE(L26:N26)</x:f>
        <x:v>17.72147233229286</x:v>
      </x:c>
      <x:c r="P26" s="19" t="str">
        <x:v>200f791f11fd
6b9fb5b55ed5
22799dc751ee
da747c81d585
e151520a6479</x:v>
      </x:c>
      <x:c r="Q26" s="19" t="str">
        <x:v>bert.pdf 第15页
bert.pdf 第14页
bert.pdf 第15页
bert.pdf 第4页
bert.pdf 第7页</x:v>
      </x:c>
    </x:row>
    <x:row r="27" ht="95" customHeight="1">
      <x:c r="A27" s="2" t="str">
        <x:v>纯向量</x:v>
      </x:c>
      <x:c r="B27" s="2" t="str">
        <x:v>bert-04-en</x:v>
      </x:c>
      <x:c r="C27" s="2" t="str">
        <x:v>en-&gt;en</x:v>
      </x:c>
      <x:c r="D27" s="2" t="str">
        <x:v>bert</x:v>
      </x:c>
      <x:c r="E27" s="19" t="str">
        <x:v>How are selected BERT tokens replaced, and what are the proportions of the three cases?</x:v>
      </x:c>
      <x:c r="F27" s="7" t="n">
        <x:v>1</x:v>
      </x:c>
      <x:c r="G27" s="7"/>
      <x:c r="H27" s="7" t="n">
        <x:v>0</x:v>
      </x:c>
      <x:c r="I27" s="20" t="n">
        <x:f>IF(H27&gt;0,1,0)</x:f>
        <x:v>0</x:v>
      </x:c>
      <x:c r="J27" s="8" t="n">
        <x:f>H27/F27</x:f>
        <x:v>0</x:v>
      </x:c>
      <x:c r="K27" s="9" t="n">
        <x:f>IF(G27="",0,1/G27)</x:f>
        <x:v>0</x:v>
      </x:c>
      <x:c r="L27" s="10" t="n">
        <x:v>17.83958300075028</x:v>
      </x:c>
      <x:c r="M27" s="10" t="n">
        <x:v>17.852041997684864</x:v>
      </x:c>
      <x:c r="N27" s="10" t="n">
        <x:v>17.580709001776995</x:v>
      </x:c>
      <x:c r="O27" s="10" t="n">
        <x:f>AVERAGE(L27:N27)</x:f>
        <x:v>17.75744466673738</x:v>
      </x:c>
      <x:c r="P27" s="19" t="str">
        <x:v>f43dd541cc49
200f791f11fd
e151520a6479
82da225c205a
a2ca82d82b71</x:v>
      </x:c>
      <x:c r="Q27" s="19" t="str">
        <x:v>bert.pdf 第16页
bert.pdf 第15页
bert.pdf 第7页
vit.pdf 第16页
bert.pdf 第9页</x:v>
      </x:c>
    </x:row>
    <x:row r="28" ht="95" customHeight="1">
      <x:c r="A28" s="2" t="str">
        <x:v>纯向量</x:v>
      </x:c>
      <x:c r="B28" s="2" t="str">
        <x:v>bert-05-zh</x:v>
      </x:c>
      <x:c r="C28" s="2" t="str">
        <x:v>zh-&gt;en</x:v>
      </x:c>
      <x:c r="D28" s="2" t="str">
        <x:v>bert</x:v>
      </x:c>
      <x:c r="E28" s="19" t="str">
        <x:v>BERT下一句预测中真实下一句和随机句各占多少？</x:v>
      </x:c>
      <x:c r="F28" s="7" t="n">
        <x:v>1</x:v>
      </x:c>
      <x:c r="G28" s="7"/>
      <x:c r="H28" s="7" t="n">
        <x:v>0</x:v>
      </x:c>
      <x:c r="I28" s="20" t="n">
        <x:f>IF(H28&gt;0,1,0)</x:f>
        <x:v>0</x:v>
      </x:c>
      <x:c r="J28" s="8" t="n">
        <x:f>H28/F28</x:f>
        <x:v>0</x:v>
      </x:c>
      <x:c r="K28" s="9" t="n">
        <x:f>IF(G28="",0,1/G28)</x:f>
        <x:v>0</x:v>
      </x:c>
      <x:c r="L28" s="10" t="n">
        <x:v>16.61279099789681</x:v>
      </x:c>
      <x:c r="M28" s="10" t="n">
        <x:v>17.11037499990198</x:v>
      </x:c>
      <x:c r="N28" s="10" t="n">
        <x:v>18.605458997626556</x:v>
      </x:c>
      <x:c r="O28" s="10" t="n">
        <x:f>AVERAGE(L28:N28)</x:f>
        <x:v>17.442874998475116</x:v>
      </x:c>
      <x:c r="P28" s="19" t="str">
        <x:v>164a68ba9cb5
22799dc751ee
e6d4aa0fcce3
da747c81d585
0948baa03212</x:v>
      </x:c>
      <x:c r="Q28" s="19" t="str">
        <x:v>bert.pdf 第13页
bert.pdf 第15页
bert.pdf 第9页
bert.pdf 第4页
bert.pdf 第13页</x:v>
      </x:c>
    </x:row>
    <x:row r="29" ht="95" customHeight="1">
      <x:c r="A29" s="2" t="str">
        <x:v>纯向量</x:v>
      </x:c>
      <x:c r="B29" s="2" t="str">
        <x:v>bert-05-en</x:v>
      </x:c>
      <x:c r="C29" s="2" t="str">
        <x:v>en-&gt;en</x:v>
      </x:c>
      <x:c r="D29" s="2" t="str">
        <x:v>bert</x:v>
      </x:c>
      <x:c r="E29" s="19" t="str">
        <x:v>What are the proportions of actual next sentences and random sentences in BERT next sentence prediction?</x:v>
      </x:c>
      <x:c r="F29" s="7" t="n">
        <x:v>1</x:v>
      </x:c>
      <x:c r="G29" s="7" t="n">
        <x:v>5</x:v>
      </x:c>
      <x:c r="H29" s="7" t="n">
        <x:v>1</x:v>
      </x:c>
      <x:c r="I29" s="20" t="n">
        <x:f>IF(H29&gt;0,1,0)</x:f>
        <x:v>1</x:v>
      </x:c>
      <x:c r="J29" s="8" t="n">
        <x:f>H29/F29</x:f>
        <x:v>1</x:v>
      </x:c>
      <x:c r="K29" s="9" t="n">
        <x:f>IF(G29="",0,1/G29)</x:f>
        <x:v>0.2</x:v>
      </x:c>
      <x:c r="L29" s="10" t="n">
        <x:v>21.632874999340856</x:v>
      </x:c>
      <x:c r="M29" s="10" t="n">
        <x:v>20.985957999073435</x:v>
      </x:c>
      <x:c r="N29" s="10" t="n">
        <x:v>21.044582998001715</x:v>
      </x:c>
      <x:c r="O29" s="10" t="n">
        <x:f>AVERAGE(L29:N29)</x:f>
        <x:v>21.221138665472</x:v>
      </x:c>
      <x:c r="P29" s="19" t="str">
        <x:v>164a68ba9cb5
da747c81d585
22799dc751ee
5d0a6020f091
69abe70f76fa</x:v>
      </x:c>
      <x:c r="Q29" s="19" t="str">
        <x:v>bert.pdf 第13页
bert.pdf 第4页
bert.pdf 第15页
bert.pdf 第5页
bert.pdf 第4页</x:v>
      </x:c>
    </x:row>
    <x:row r="30" ht="95" customHeight="1">
      <x:c r="A30" s="2" t="str">
        <x:v>纯向量</x:v>
      </x:c>
      <x:c r="B30" s="2" t="str">
        <x:v>bert-06-zh</x:v>
      </x:c>
      <x:c r="C30" s="2" t="str">
        <x:v>zh-&gt;en</x:v>
      </x:c>
      <x:c r="D30" s="2" t="str">
        <x:v>bert</x:v>
      </x:c>
      <x:c r="E30" s="19" t="str">
        <x:v>BERT预训练使用哪两个语料，它们各有多少词？</x:v>
      </x:c>
      <x:c r="F30" s="7" t="n">
        <x:v>2</x:v>
      </x:c>
      <x:c r="G30" s="7" t="n">
        <x:v>1</x:v>
      </x:c>
      <x:c r="H30" s="7" t="n">
        <x:v>2</x:v>
      </x:c>
      <x:c r="I30" s="20" t="n">
        <x:f>IF(H30&gt;0,1,0)</x:f>
        <x:v>1</x:v>
      </x:c>
      <x:c r="J30" s="8" t="n">
        <x:f>H30/F30</x:f>
        <x:v>1</x:v>
      </x:c>
      <x:c r="K30" s="9" t="n">
        <x:f>IF(G30="",0,1/G30)</x:f>
        <x:v>1</x:v>
      </x:c>
      <x:c r="L30" s="10" t="n">
        <x:v>17.923458999575814</x:v>
      </x:c>
      <x:c r="M30" s="10" t="n">
        <x:v>17.05404099993757</x:v>
      </x:c>
      <x:c r="N30" s="10" t="n">
        <x:v>17.47229199827416</x:v>
      </x:c>
      <x:c r="O30" s="10" t="n">
        <x:f>AVERAGE(L30:N30)</x:f>
        <x:v>17.483263999262515</x:v>
      </x:c>
      <x:c r="P30" s="19" t="str">
        <x:v>6b9fb5b55ed5
3eaef451b505
e7dea37c0f03
94c50374af3a
22799dc751ee</x:v>
      </x:c>
      <x:c r="Q30" s="19" t="str">
        <x:v>bert.pdf 第14页
bert.pdf 第5页
bert.pdf 第9页
bert.pdf 第1页
bert.pdf 第15页</x:v>
      </x:c>
    </x:row>
    <x:row r="31" ht="95" customHeight="1">
      <x:c r="A31" s="2" t="str">
        <x:v>纯向量</x:v>
      </x:c>
      <x:c r="B31" s="2" t="str">
        <x:v>bert-06-en</x:v>
      </x:c>
      <x:c r="C31" s="2" t="str">
        <x:v>en-&gt;en</x:v>
      </x:c>
      <x:c r="D31" s="2" t="str">
        <x:v>bert</x:v>
      </x:c>
      <x:c r="E31" s="19" t="str">
        <x:v>Which two corpora are used to pre-train BERT, and how many words does each contain?</x:v>
      </x:c>
      <x:c r="F31" s="7" t="n">
        <x:v>2</x:v>
      </x:c>
      <x:c r="G31" s="7" t="n">
        <x:v>1</x:v>
      </x:c>
      <x:c r="H31" s="7" t="n">
        <x:v>2</x:v>
      </x:c>
      <x:c r="I31" s="20" t="n">
        <x:f>IF(H31&gt;0,1,0)</x:f>
        <x:v>1</x:v>
      </x:c>
      <x:c r="J31" s="8" t="n">
        <x:f>H31/F31</x:f>
        <x:v>1</x:v>
      </x:c>
      <x:c r="K31" s="9" t="n">
        <x:f>IF(G31="",0,1/G31)</x:f>
        <x:v>1</x:v>
      </x:c>
      <x:c r="L31" s="10" t="n">
        <x:v>20.867499999440042</x:v>
      </x:c>
      <x:c r="M31" s="10" t="n">
        <x:v>20.83762499751174</x:v>
      </x:c>
      <x:c r="N31" s="10" t="n">
        <x:v>21.406333999038907</x:v>
      </x:c>
      <x:c r="O31" s="10" t="n">
        <x:f>AVERAGE(L31:N31)</x:f>
        <x:v>21.03715299866356</x:v>
      </x:c>
      <x:c r="P31" s="19" t="str">
        <x:v>3eaef451b505
6b9fb5b55ed5
94c50374af3a
f106e1ebcbfa
9e43b21b862a</x:v>
      </x:c>
      <x:c r="Q31" s="19" t="str">
        <x:v>bert.pdf 第5页
bert.pdf 第14页
bert.pdf 第1页
bert.pdf 第2页
bert.pdf 第13页</x:v>
      </x:c>
    </x:row>
    <x:row r="32" ht="95" customHeight="1">
      <x:c r="A32" s="2" t="str">
        <x:v>纯向量</x:v>
      </x:c>
      <x:c r="B32" s="2" t="str">
        <x:v>bert-07-zh</x:v>
      </x:c>
      <x:c r="C32" s="2" t="str">
        <x:v>zh-&gt;en</x:v>
      </x:c>
      <x:c r="D32" s="2" t="str">
        <x:v>bert</x:v>
      </x:c>
      <x:c r="E32" s="19" t="str">
        <x:v>BERT预训练怎样分配短序列和长序列的训练步数？</x:v>
      </x:c>
      <x:c r="F32" s="7" t="n">
        <x:v>1</x:v>
      </x:c>
      <x:c r="G32" s="7"/>
      <x:c r="H32" s="7" t="n">
        <x:v>0</x:v>
      </x:c>
      <x:c r="I32" s="20" t="n">
        <x:f>IF(H32&gt;0,1,0)</x:f>
        <x:v>0</x:v>
      </x:c>
      <x:c r="J32" s="8" t="n">
        <x:f>H32/F32</x:f>
        <x:v>0</x:v>
      </x:c>
      <x:c r="K32" s="9" t="n">
        <x:f>IF(G32="",0,1/G32)</x:f>
        <x:v>0</x:v>
      </x:c>
      <x:c r="L32" s="10" t="n">
        <x:v>17.646042000706075</x:v>
      </x:c>
      <x:c r="M32" s="10" t="n">
        <x:v>17.862791999505134</x:v>
      </x:c>
      <x:c r="N32" s="10" t="n">
        <x:v>17.320625000138534</x:v>
      </x:c>
      <x:c r="O32" s="10" t="n">
        <x:f>AVERAGE(L32:N32)</x:f>
        <x:v>17.60981966678325</x:v>
      </x:c>
      <x:c r="P32" s="19" t="str">
        <x:v>20ab6aea8126
e8ef5be7b5cc
698c31c355c8
9e1c040b694f
fba246bd83a5</x:v>
      </x:c>
      <x:c r="Q32" s="19" t="str">
        <x:v>bert.pdf 第12页
bert.pdf 第3页
bert.pdf 第8页
bert.pdf 第3页
bert.pdf 第13页</x:v>
      </x:c>
    </x:row>
    <x:row r="33" ht="95" customHeight="1">
      <x:c r="A33" s="2" t="str">
        <x:v>纯向量</x:v>
      </x:c>
      <x:c r="B33" s="2" t="str">
        <x:v>bert-07-en</x:v>
      </x:c>
      <x:c r="C33" s="2" t="str">
        <x:v>en-&gt;en</x:v>
      </x:c>
      <x:c r="D33" s="2" t="str">
        <x:v>bert</x:v>
      </x:c>
      <x:c r="E33" s="19" t="str">
        <x:v>How does BERT pre-training allocate steps between short and long sequences?</x:v>
      </x:c>
      <x:c r="F33" s="7" t="n">
        <x:v>1</x:v>
      </x:c>
      <x:c r="G33" s="7" t="n">
        <x:v>3</x:v>
      </x:c>
      <x:c r="H33" s="7" t="n">
        <x:v>1</x:v>
      </x:c>
      <x:c r="I33" s="20" t="n">
        <x:f>IF(H33&gt;0,1,0)</x:f>
        <x:v>1</x:v>
      </x:c>
      <x:c r="J33" s="8" t="n">
        <x:f>H33/F33</x:f>
        <x:v>1</x:v>
      </x:c>
      <x:c r="K33" s="9" t="n">
        <x:f>IF(G33="",0,1/G33)</x:f>
        <x:v>0.3333333333333333</x:v>
      </x:c>
      <x:c r="L33" s="10" t="n">
        <x:v>17.9220410027483</x:v>
      </x:c>
      <x:c r="M33" s="10" t="n">
        <x:v>17.675833001703722</x:v>
      </x:c>
      <x:c r="N33" s="10" t="n">
        <x:v>17.662124999333173</x:v>
      </x:c>
      <x:c r="O33" s="10" t="n">
        <x:f>AVERAGE(L33:N33)</x:f>
        <x:v>17.753333001261733</x:v>
      </x:c>
      <x:c r="P33" s="19" t="str">
        <x:v>20ab6aea8126
7e598c50c4dc
f000313f31e5
e8ef5be7b5cc
9e1c040b694f</x:v>
      </x:c>
      <x:c r="Q33" s="19" t="str">
        <x:v>bert.pdf 第12页
bert.pdf 第16页
bert.pdf 第13页
bert.pdf 第3页
bert.pdf 第3页</x:v>
      </x:c>
    </x:row>
    <x:row r="34" ht="95" customHeight="1">
      <x:c r="A34" s="2" t="str">
        <x:v>纯向量</x:v>
      </x:c>
      <x:c r="B34" s="2" t="str">
        <x:v>bert-08-zh</x:v>
      </x:c>
      <x:c r="C34" s="2" t="str">
        <x:v>zh-&gt;en</x:v>
      </x:c>
      <x:c r="D34" s="2" t="str">
        <x:v>bert</x:v>
      </x:c>
      <x:c r="E34" s="19" t="str">
        <x:v>BERT微调时只训练输出层还是更新全部参数？</x:v>
      </x:c>
      <x:c r="F34" s="7" t="n">
        <x:v>1</x:v>
      </x:c>
      <x:c r="G34" s="7"/>
      <x:c r="H34" s="7" t="n">
        <x:v>0</x:v>
      </x:c>
      <x:c r="I34" s="20" t="n">
        <x:f>IF(H34&gt;0,1,0)</x:f>
        <x:v>0</x:v>
      </x:c>
      <x:c r="J34" s="8" t="n">
        <x:f>H34/F34</x:f>
        <x:v>0</x:v>
      </x:c>
      <x:c r="K34" s="9" t="n">
        <x:f>IF(G34="",0,1/G34)</x:f>
        <x:v>0</x:v>
      </x:c>
      <x:c r="L34" s="10" t="n">
        <x:v>18.70687500195345</x:v>
      </x:c>
      <x:c r="M34" s="10" t="n">
        <x:v>17.21670899860328</x:v>
      </x:c>
      <x:c r="N34" s="10" t="n">
        <x:v>17.378749998897547</x:v>
      </x:c>
      <x:c r="O34" s="10" t="n">
        <x:f>AVERAGE(L34:N34)</x:f>
        <x:v>17.76744466648476</x:v>
      </x:c>
      <x:c r="P34" s="19" t="str">
        <x:v>20ab6aea8126
fba246bd83a5
e8ef5be7b5cc
1da27bb98beb
4f7af896b1f2</x:v>
      </x:c>
      <x:c r="Q34" s="19" t="str">
        <x:v>bert.pdf 第12页
bert.pdf 第13页
bert.pdf 第3页
bert.pdf 第9页
bert.pdf 第7页</x:v>
      </x:c>
    </x:row>
    <x:row r="35" ht="95" customHeight="1">
      <x:c r="A35" s="2" t="str">
        <x:v>纯向量</x:v>
      </x:c>
      <x:c r="B35" s="2" t="str">
        <x:v>bert-08-en</x:v>
      </x:c>
      <x:c r="C35" s="2" t="str">
        <x:v>en-&gt;en</x:v>
      </x:c>
      <x:c r="D35" s="2" t="str">
        <x:v>bert</x:v>
      </x:c>
      <x:c r="E35" s="19" t="str">
        <x:v>Does BERT fine-tuning train only the output layer or update all parameters?</x:v>
      </x:c>
      <x:c r="F35" s="7" t="n">
        <x:v>1</x:v>
      </x:c>
      <x:c r="G35" s="7"/>
      <x:c r="H35" s="7" t="n">
        <x:v>0</x:v>
      </x:c>
      <x:c r="I35" s="20" t="n">
        <x:f>IF(H35&gt;0,1,0)</x:f>
        <x:v>0</x:v>
      </x:c>
      <x:c r="J35" s="8" t="n">
        <x:f>H35/F35</x:f>
        <x:v>0</x:v>
      </x:c>
      <x:c r="K35" s="9" t="n">
        <x:f>IF(G35="",0,1/G35)</x:f>
        <x:v>0</x:v>
      </x:c>
      <x:c r="L35" s="10" t="n">
        <x:v>17.661333000432933</x:v>
      </x:c>
      <x:c r="M35" s="10" t="n">
        <x:v>18.204415999207413</x:v>
      </x:c>
      <x:c r="N35" s="10" t="n">
        <x:v>17.652250000537606</x:v>
      </x:c>
      <x:c r="O35" s="10" t="n">
        <x:f>AVERAGE(L35:N35)</x:f>
        <x:v>17.839333000059316</x:v>
      </x:c>
      <x:c r="P35" s="19" t="str">
        <x:v>e8ef5be7b5cc
e5c4d6f3e0a5
1da27bb98beb
9e1c040b694f
a2ca82d82b71</x:v>
      </x:c>
      <x:c r="Q35" s="19" t="str">
        <x:v>bert.pdf 第3页
bert.pdf 第3页
bert.pdf 第9页
bert.pdf 第3页
bert.pdf 第9页</x:v>
      </x:c>
    </x:row>
    <x:row r="36" ht="95" customHeight="1">
      <x:c r="A36" s="2" t="str">
        <x:v>纯向量</x:v>
      </x:c>
      <x:c r="B36" s="2" t="str">
        <x:v>vit-01-zh</x:v>
      </x:c>
      <x:c r="C36" s="2" t="str">
        <x:v>zh-&gt;en</x:v>
      </x:c>
      <x:c r="D36" s="2" t="str">
        <x:v>vit</x:v>
      </x:c>
      <x:c r="E36" s="19" t="str">
        <x:v>原始ViT怎样把图像变成Transformer的输入序列？</x:v>
      </x:c>
      <x:c r="F36" s="7" t="n">
        <x:v>3</x:v>
      </x:c>
      <x:c r="G36" s="7"/>
      <x:c r="H36" s="7" t="n">
        <x:v>0</x:v>
      </x:c>
      <x:c r="I36" s="20" t="n">
        <x:f>IF(H36&gt;0,1,0)</x:f>
        <x:v>0</x:v>
      </x:c>
      <x:c r="J36" s="8" t="n">
        <x:f>H36/F36</x:f>
        <x:v>0</x:v>
      </x:c>
      <x:c r="K36" s="9" t="n">
        <x:f>IF(G36="",0,1/G36)</x:f>
        <x:v>0</x:v>
      </x:c>
      <x:c r="L36" s="10" t="n">
        <x:v>17.529082997498335</x:v>
      </x:c>
      <x:c r="M36" s="10" t="n">
        <x:v>17.2338749980554</x:v>
      </x:c>
      <x:c r="N36" s="10" t="n">
        <x:v>17.48550000047544</x:v>
      </x:c>
      <x:c r="O36" s="10" t="n">
        <x:f>AVERAGE(L36:N36)</x:f>
        <x:v>17.41615266534306</x:v>
      </x:c>
      <x:c r="P36" s="19" t="str">
        <x:v>127d05940603
69912204f088
ac03dc81db60
8ae84e98efc7
e9421d560c4a</x:v>
      </x:c>
      <x:c r="Q36" s="19" t="str">
        <x:v>vision_survey.pdf 第2页
vit.pdf 第8页
vision_survey.pdf 第2页
vit.pdf 第1页
vit.pdf 第3页</x:v>
      </x:c>
    </x:row>
    <x:row r="37" ht="95" customHeight="1">
      <x:c r="A37" s="2" t="str">
        <x:v>纯向量</x:v>
      </x:c>
      <x:c r="B37" s="2" t="str">
        <x:v>vit-01-en</x:v>
      </x:c>
      <x:c r="C37" s="2" t="str">
        <x:v>en-&gt;en</x:v>
      </x:c>
      <x:c r="D37" s="2" t="str">
        <x:v>vit</x:v>
      </x:c>
      <x:c r="E37" s="19" t="str">
        <x:v>How does the original ViT convert an image into a Transformer input sequence?</x:v>
      </x:c>
      <x:c r="F37" s="7" t="n">
        <x:v>3</x:v>
      </x:c>
      <x:c r="G37" s="7" t="n">
        <x:v>5</x:v>
      </x:c>
      <x:c r="H37" s="7" t="n">
        <x:v>1</x:v>
      </x:c>
      <x:c r="I37" s="20" t="n">
        <x:f>IF(H37&gt;0,1,0)</x:f>
        <x:v>1</x:v>
      </x:c>
      <x:c r="J37" s="8" t="n">
        <x:f>H37/F37</x:f>
        <x:v>0.3333333333333333</x:v>
      </x:c>
      <x:c r="K37" s="9" t="n">
        <x:f>IF(G37="",0,1/G37)</x:f>
        <x:v>0.2</x:v>
      </x:c>
      <x:c r="L37" s="10" t="n">
        <x:v>17.121000000770437</x:v>
      </x:c>
      <x:c r="M37" s="10" t="n">
        <x:v>17.58245800010627</x:v>
      </x:c>
      <x:c r="N37" s="10" t="n">
        <x:v>17.311458999756724</x:v>
      </x:c>
      <x:c r="O37" s="10" t="n">
        <x:f>AVERAGE(L37:N37)</x:f>
        <x:v>17.33830566687781</x:v>
      </x:c>
      <x:c r="P37" s="19" t="str">
        <x:v>e9421d560c4a
8ae84e98efc7
69912204f088
1301ce16c312
0f68818744e4</x:v>
      </x:c>
      <x:c r="Q37" s="19" t="str">
        <x:v>vit.pdf 第3页
vit.pdf 第1页
vit.pdf 第8页
vit.pdf 第4页
vit.pdf 第3页</x:v>
      </x:c>
    </x:row>
    <x:row r="38" ht="95" customHeight="1">
      <x:c r="A38" s="2" t="str">
        <x:v>纯向量</x:v>
      </x:c>
      <x:c r="B38" s="2" t="str">
        <x:v>vit-02-zh</x:v>
      </x:c>
      <x:c r="C38" s="2" t="str">
        <x:v>zh-&gt;en</x:v>
      </x:c>
      <x:c r="D38" s="2" t="str">
        <x:v>vit</x:v>
      </x:c>
      <x:c r="E38" s="19" t="str">
        <x:v>原始ViT使用哪个词符的输出作为图像表示？</x:v>
      </x:c>
      <x:c r="F38" s="7" t="n">
        <x:v>1</x:v>
      </x:c>
      <x:c r="G38" s="7"/>
      <x:c r="H38" s="7" t="n">
        <x:v>0</x:v>
      </x:c>
      <x:c r="I38" s="20" t="n">
        <x:f>IF(H38&gt;0,1,0)</x:f>
        <x:v>0</x:v>
      </x:c>
      <x:c r="J38" s="8" t="n">
        <x:f>H38/F38</x:f>
        <x:v>0</x:v>
      </x:c>
      <x:c r="K38" s="9" t="n">
        <x:f>IF(G38="",0,1/G38)</x:f>
        <x:v>0</x:v>
      </x:c>
      <x:c r="L38" s="10" t="n">
        <x:v>17.51995900121983</x:v>
      </x:c>
      <x:c r="M38" s="10" t="n">
        <x:v>17.942458998732036</x:v>
      </x:c>
      <x:c r="N38" s="10" t="n">
        <x:v>17.414834001101553</x:v>
      </x:c>
      <x:c r="O38" s="10" t="n">
        <x:f>AVERAGE(L38:N38)</x:f>
        <x:v>17.625750667017808</x:v>
      </x:c>
      <x:c r="P38" s="19" t="str">
        <x:v>127d05940603
216400db327d
9e8ff685cc90
1649d42ecbf2
9b0b9c2680b6</x:v>
      </x:c>
      <x:c r="Q38" s="19" t="str">
        <x:v>vision_survey.pdf 第2页
vit.pdf 第7页
vision_survey.pdf 第22页
vit.pdf 第14页
vit.pdf 第6页</x:v>
      </x:c>
    </x:row>
    <x:row r="39" ht="95" customHeight="1">
      <x:c r="A39" s="2" t="str">
        <x:v>纯向量</x:v>
      </x:c>
      <x:c r="B39" s="2" t="str">
        <x:v>vit-02-en</x:v>
      </x:c>
      <x:c r="C39" s="2" t="str">
        <x:v>en-&gt;en</x:v>
      </x:c>
      <x:c r="D39" s="2" t="str">
        <x:v>vit</x:v>
      </x:c>
      <x:c r="E39" s="19" t="str">
        <x:v>Which token output is used as the image representation in the original ViT?</x:v>
      </x:c>
      <x:c r="F39" s="7" t="n">
        <x:v>1</x:v>
      </x:c>
      <x:c r="G39" s="7"/>
      <x:c r="H39" s="7" t="n">
        <x:v>0</x:v>
      </x:c>
      <x:c r="I39" s="20" t="n">
        <x:f>IF(H39&gt;0,1,0)</x:f>
        <x:v>0</x:v>
      </x:c>
      <x:c r="J39" s="8" t="n">
        <x:f>H39/F39</x:f>
        <x:v>0</x:v>
      </x:c>
      <x:c r="K39" s="9" t="n">
        <x:f>IF(G39="",0,1/G39)</x:f>
        <x:v>0</x:v>
      </x:c>
      <x:c r="L39" s="10" t="n">
        <x:v>17.755166998540517</x:v>
      </x:c>
      <x:c r="M39" s="10" t="n">
        <x:v>17.669791999651352</x:v>
      </x:c>
      <x:c r="N39" s="10" t="n">
        <x:v>17.579125000338536</x:v>
      </x:c>
      <x:c r="O39" s="10" t="n">
        <x:f>AVERAGE(L39:N39)</x:f>
        <x:v>17.668027999510134</x:v>
      </x:c>
      <x:c r="P39" s="19" t="str">
        <x:v>260dae2cb298
e9421d560c4a
e130dcce483a
8ae84e98efc7
24f092f31d91</x:v>
      </x:c>
      <x:c r="Q39" s="19" t="str">
        <x:v>vit.pdf 第16页
vit.pdf 第3页
vit.pdf 第20页
vit.pdf 第1页
vit.pdf 第1页</x:v>
      </x:c>
    </x:row>
    <x:row r="40" ht="95" customHeight="1">
      <x:c r="A40" s="2" t="str">
        <x:v>纯向量</x:v>
      </x:c>
      <x:c r="B40" s="2" t="str">
        <x:v>vit-03-zh</x:v>
      </x:c>
      <x:c r="C40" s="2" t="str">
        <x:v>zh-&gt;en</x:v>
      </x:c>
      <x:c r="D40" s="2" t="str">
        <x:v>vit</x:v>
      </x:c>
      <x:c r="E40" s="19" t="str">
        <x:v>原始ViT采用可学习的一维还是二维位置嵌入，为什么？</x:v>
      </x:c>
      <x:c r="F40" s="7" t="n">
        <x:v>1</x:v>
      </x:c>
      <x:c r="G40" s="7"/>
      <x:c r="H40" s="7" t="n">
        <x:v>0</x:v>
      </x:c>
      <x:c r="I40" s="20" t="n">
        <x:f>IF(H40&gt;0,1,0)</x:f>
        <x:v>0</x:v>
      </x:c>
      <x:c r="J40" s="8" t="n">
        <x:f>H40/F40</x:f>
        <x:v>0</x:v>
      </x:c>
      <x:c r="K40" s="9" t="n">
        <x:f>IF(G40="",0,1/G40)</x:f>
        <x:v>0</x:v>
      </x:c>
      <x:c r="L40" s="10" t="n">
        <x:v>21.218000001681503</x:v>
      </x:c>
      <x:c r="M40" s="10" t="n">
        <x:v>17.43045900002471</x:v>
      </x:c>
      <x:c r="N40" s="10" t="n">
        <x:v>17.75358399754623</x:v>
      </x:c>
      <x:c r="O40" s="10" t="n">
        <x:f>AVERAGE(L40:N40)</x:f>
        <x:v>18.800680999750814</x:v>
      </x:c>
      <x:c r="P40" s="19" t="str">
        <x:v>fe92a83a9be3
69912204f088
127d05940603
7a8104b7b265
1301ce16c312</x:v>
      </x:c>
      <x:c r="Q40" s="19" t="str">
        <x:v>vision_survey.pdf 第4页
vit.pdf 第8页
vision_survey.pdf 第2页
vision_survey.pdf 第3页
vit.pdf 第4页</x:v>
      </x:c>
    </x:row>
    <x:row r="41" ht="95" customHeight="1">
      <x:c r="A41" s="2" t="str">
        <x:v>纯向量</x:v>
      </x:c>
      <x:c r="B41" s="2" t="str">
        <x:v>vit-03-en</x:v>
      </x:c>
      <x:c r="C41" s="2" t="str">
        <x:v>en-&gt;en</x:v>
      </x:c>
      <x:c r="D41" s="2" t="str">
        <x:v>vit</x:v>
      </x:c>
      <x:c r="E41" s="19" t="str">
        <x:v>Does the original ViT use learnable one-dimensional or two-dimensional position embeddings, and why?</x:v>
      </x:c>
      <x:c r="F41" s="7" t="n">
        <x:v>1</x:v>
      </x:c>
      <x:c r="G41" s="7" t="n">
        <x:v>3</x:v>
      </x:c>
      <x:c r="H41" s="7" t="n">
        <x:v>1</x:v>
      </x:c>
      <x:c r="I41" s="20" t="n">
        <x:f>IF(H41&gt;0,1,0)</x:f>
        <x:v>1</x:v>
      </x:c>
      <x:c r="J41" s="8" t="n">
        <x:f>H41/F41</x:f>
        <x:v>1</x:v>
      </x:c>
      <x:c r="K41" s="9" t="n">
        <x:f>IF(G41="",0,1/G41)</x:f>
        <x:v>0.3333333333333333</x:v>
      </x:c>
      <x:c r="L41" s="10" t="n">
        <x:v>22.427542000514222</x:v>
      </x:c>
      <x:c r="M41" s="10" t="n">
        <x:v>21.768583999801194</x:v>
      </x:c>
      <x:c r="N41" s="10" t="n">
        <x:v>21.925125001871493</x:v>
      </x:c>
      <x:c r="O41" s="10" t="n">
        <x:f>AVERAGE(L41:N41)</x:f>
        <x:v>22.04041700072897</x:v>
      </x:c>
      <x:c r="P41" s="19" t="str">
        <x:v>8c8caa8c9f8f
7eb48c9359b3
de306f230bef
ecc8bf40bc43
9e9acdbba6f7</x:v>
      </x:c>
      <x:c r="Q41" s="19" t="str">
        <x:v>vit.pdf 第18页
vit.pdf 第17页
vit.pdf 第3页
vit.pdf 第18页
vit.pdf 第3页</x:v>
      </x:c>
    </x:row>
    <x:row r="42" ht="95" customHeight="1">
      <x:c r="A42" s="2" t="str">
        <x:v>纯向量</x:v>
      </x:c>
      <x:c r="B42" s="2" t="str">
        <x:v>vit-04-zh</x:v>
      </x:c>
      <x:c r="C42" s="2" t="str">
        <x:v>zh-&gt;en</x:v>
      </x:c>
      <x:c r="D42" s="2" t="str">
        <x:v>vit</x:v>
      </x:c>
      <x:c r="E42" s="19" t="str">
        <x:v>原始ViT与CNN相比，图像归纳偏置有哪些区别？</x:v>
      </x:c>
      <x:c r="F42" s="7" t="n">
        <x:v>1</x:v>
      </x:c>
      <x:c r="G42" s="7"/>
      <x:c r="H42" s="7" t="n">
        <x:v>0</x:v>
      </x:c>
      <x:c r="I42" s="20" t="n">
        <x:f>IF(H42&gt;0,1,0)</x:f>
        <x:v>0</x:v>
      </x:c>
      <x:c r="J42" s="8" t="n">
        <x:f>H42/F42</x:f>
        <x:v>0</x:v>
      </x:c>
      <x:c r="K42" s="9" t="n">
        <x:f>IF(G42="",0,1/G42)</x:f>
        <x:v>0</x:v>
      </x:c>
      <x:c r="L42" s="10" t="n">
        <x:v>17.765459000656847</x:v>
      </x:c>
      <x:c r="M42" s="10" t="n">
        <x:v>17.51387499825796</x:v>
      </x:c>
      <x:c r="N42" s="10" t="n">
        <x:v>17.785625001124572</x:v>
      </x:c>
      <x:c r="O42" s="10" t="n">
        <x:f>AVERAGE(L42:N42)</x:f>
        <x:v>17.688319666679792</x:v>
      </x:c>
      <x:c r="P42" s="19" t="str">
        <x:v>b2c5ca4a2c2d
127d05940603
ac03dc81db60
216400db327d
69912204f088</x:v>
      </x:c>
      <x:c r="Q42" s="19" t="str">
        <x:v>vit.pdf 第2页
vision_survey.pdf 第2页
vision_survey.pdf 第2页
vit.pdf 第7页
vit.pdf 第8页</x:v>
      </x:c>
    </x:row>
    <x:row r="43" ht="95" customHeight="1">
      <x:c r="A43" s="2" t="str">
        <x:v>纯向量</x:v>
      </x:c>
      <x:c r="B43" s="2" t="str">
        <x:v>vit-04-en</x:v>
      </x:c>
      <x:c r="C43" s="2" t="str">
        <x:v>en-&gt;en</x:v>
      </x:c>
      <x:c r="D43" s="2" t="str">
        <x:v>vit</x:v>
      </x:c>
      <x:c r="E43" s="19" t="str">
        <x:v>How does image-specific inductive bias in the original ViT differ from CNNs?</x:v>
      </x:c>
      <x:c r="F43" s="7" t="n">
        <x:v>1</x:v>
      </x:c>
      <x:c r="G43" s="7" t="n">
        <x:v>2</x:v>
      </x:c>
      <x:c r="H43" s="7" t="n">
        <x:v>1</x:v>
      </x:c>
      <x:c r="I43" s="20" t="n">
        <x:f>IF(H43&gt;0,1,0)</x:f>
        <x:v>1</x:v>
      </x:c>
      <x:c r="J43" s="8" t="n">
        <x:f>H43/F43</x:f>
        <x:v>1</x:v>
      </x:c>
      <x:c r="K43" s="9" t="n">
        <x:f>IF(G43="",0,1/G43)</x:f>
        <x:v>0.5</x:v>
      </x:c>
      <x:c r="L43" s="10" t="n">
        <x:v>17.996874998061685</x:v>
      </x:c>
      <x:c r="M43" s="10" t="n">
        <x:v>17.545708000398008</x:v>
      </x:c>
      <x:c r="N43" s="10" t="n">
        <x:v>18.150916999729816</x:v>
      </x:c>
      <x:c r="O43" s="10" t="n">
        <x:f>AVERAGE(L43:N43)</x:f>
        <x:v>17.897833332729835</x:v>
      </x:c>
      <x:c r="P43" s="19" t="str">
        <x:v>e3ac137c2106
5bde2de08ea0
b2c5ca4a2c2d
1301ce16c312
6a7c2a4fa97a</x:v>
      </x:c>
      <x:c r="Q43" s="19" t="str">
        <x:v>vit.pdf 第7页
vit.pdf 第4页
vit.pdf 第2页
vit.pdf 第4页
vit.pdf 第6页</x:v>
      </x:c>
    </x:row>
    <x:row r="44" ht="95" customHeight="1">
      <x:c r="A44" s="2" t="str">
        <x:v>纯向量</x:v>
      </x:c>
      <x:c r="B44" s="2" t="str">
        <x:v>vit-05-zh</x:v>
      </x:c>
      <x:c r="C44" s="2" t="str">
        <x:v>zh-&gt;en</x:v>
      </x:c>
      <x:c r="D44" s="2" t="str">
        <x:v>vit</x:v>
      </x:c>
      <x:c r="E44" s="19" t="str">
        <x:v>原始ViT的混合架构从哪里取得图像块嵌入输入？</x:v>
      </x:c>
      <x:c r="F44" s="7" t="n">
        <x:v>1</x:v>
      </x:c>
      <x:c r="G44" s="7"/>
      <x:c r="H44" s="7" t="n">
        <x:v>0</x:v>
      </x:c>
      <x:c r="I44" s="20" t="n">
        <x:f>IF(H44&gt;0,1,0)</x:f>
        <x:v>0</x:v>
      </x:c>
      <x:c r="J44" s="8" t="n">
        <x:f>H44/F44</x:f>
        <x:v>0</x:v>
      </x:c>
      <x:c r="K44" s="9" t="n">
        <x:f>IF(G44="",0,1/G44)</x:f>
        <x:v>0</x:v>
      </x:c>
      <x:c r="L44" s="10" t="n">
        <x:v>17.922666000231402</x:v>
      </x:c>
      <x:c r="M44" s="10" t="n">
        <x:v>17.65750000049593</x:v>
      </x:c>
      <x:c r="N44" s="10" t="n">
        <x:v>17.58062500084634</x:v>
      </x:c>
      <x:c r="O44" s="10" t="n">
        <x:f>AVERAGE(L44:N44)</x:f>
        <x:v>17.720263667191222</x:v>
      </x:c>
      <x:c r="P44" s="19" t="str">
        <x:v>127d05940603
3f95899ef871
9bb9cb71c365
1656962e3326
1301ce16c312</x:v>
      </x:c>
      <x:c r="Q44" s="19" t="str">
        <x:v>vision_survey.pdf 第2页
vision_survey.pdf 第21页
vit.pdf 第19页
vit.pdf 第6页
vit.pdf 第4页</x:v>
      </x:c>
    </x:row>
    <x:row r="45" ht="95" customHeight="1">
      <x:c r="A45" s="2" t="str">
        <x:v>纯向量</x:v>
      </x:c>
      <x:c r="B45" s="2" t="str">
        <x:v>vit-05-en</x:v>
      </x:c>
      <x:c r="C45" s="2" t="str">
        <x:v>en-&gt;en</x:v>
      </x:c>
      <x:c r="D45" s="2" t="str">
        <x:v>vit</x:v>
      </x:c>
      <x:c r="E45" s="19" t="str">
        <x:v>Where do input patch embeddings come from in the original ViT hybrid architecture?</x:v>
      </x:c>
      <x:c r="F45" s="7" t="n">
        <x:v>1</x:v>
      </x:c>
      <x:c r="G45" s="7" t="n">
        <x:v>3</x:v>
      </x:c>
      <x:c r="H45" s="7" t="n">
        <x:v>1</x:v>
      </x:c>
      <x:c r="I45" s="20" t="n">
        <x:f>IF(H45&gt;0,1,0)</x:f>
        <x:v>1</x:v>
      </x:c>
      <x:c r="J45" s="8" t="n">
        <x:f>H45/F45</x:f>
        <x:v>1</x:v>
      </x:c>
      <x:c r="K45" s="9" t="n">
        <x:f>IF(G45="",0,1/G45)</x:f>
        <x:v>0.3333333333333333</x:v>
      </x:c>
      <x:c r="L45" s="10" t="n">
        <x:v>17.975291000766447</x:v>
      </x:c>
      <x:c r="M45" s="10" t="n">
        <x:v>17.438750001019798</x:v>
      </x:c>
      <x:c r="N45" s="10" t="n">
        <x:v>17.528125001263106</x:v>
      </x:c>
      <x:c r="O45" s="10" t="n">
        <x:f>AVERAGE(L45:N45)</x:f>
        <x:v>17.647388667683117</x:v>
      </x:c>
      <x:c r="P45" s="19" t="str">
        <x:v>40f8d16aaec2
583e7238700e
a7ae255f3607
f0472597593c
8c8caa8c9f8f</x:v>
      </x:c>
      <x:c r="Q45" s="19" t="str">
        <x:v>vit.pdf 第4页
vit.pdf 第18页
vit.pdf 第4页
vit.pdf 第9页
vit.pdf 第18页</x:v>
      </x:c>
    </x:row>
    <x:row r="46" ht="95" customHeight="1">
      <x:c r="A46" s="2" t="str">
        <x:v>纯向量</x:v>
      </x:c>
      <x:c r="B46" s="2" t="str">
        <x:v>vit-06-zh</x:v>
      </x:c>
      <x:c r="C46" s="2" t="str">
        <x:v>zh-&gt;en</x:v>
      </x:c>
      <x:c r="D46" s="2" t="str">
        <x:v>vit</x:v>
      </x:c>
      <x:c r="E46" s="19" t="str">
        <x:v>原始ViT提高微调图像分辨率时如何调整位置嵌入？</x:v>
      </x:c>
      <x:c r="F46" s="7" t="n">
        <x:v>1</x:v>
      </x:c>
      <x:c r="G46" s="7"/>
      <x:c r="H46" s="7" t="n">
        <x:v>0</x:v>
      </x:c>
      <x:c r="I46" s="20" t="n">
        <x:f>IF(H46&gt;0,1,0)</x:f>
        <x:v>0</x:v>
      </x:c>
      <x:c r="J46" s="8" t="n">
        <x:f>H46/F46</x:f>
        <x:v>0</x:v>
      </x:c>
      <x:c r="K46" s="9" t="n">
        <x:f>IF(G46="",0,1/G46)</x:f>
        <x:v>0</x:v>
      </x:c>
      <x:c r="L46" s="10" t="n">
        <x:v>17.887458998302463</x:v>
      </x:c>
      <x:c r="M46" s="10" t="n">
        <x:v>18.421332999423612</x:v>
      </x:c>
      <x:c r="N46" s="10" t="n">
        <x:v>17.76354200046626</x:v>
      </x:c>
      <x:c r="O46" s="10" t="n">
        <x:f>AVERAGE(L46:N46)</x:f>
        <x:v>18.02411133273078</x:v>
      </x:c>
      <x:c r="P46" s="19" t="str">
        <x:v>69912204f088
127d05940603
132453b8955b
e9421d560c4a
c3e2a30b7743</x:v>
      </x:c>
      <x:c r="Q46" s="19" t="str">
        <x:v>vit.pdf 第8页
vision_survey.pdf 第2页
vision_survey.pdf 第12页
vit.pdf 第3页
vit.pdf 第9页</x:v>
      </x:c>
    </x:row>
    <x:row r="47" ht="95" customHeight="1">
      <x:c r="A47" s="2" t="str">
        <x:v>纯向量</x:v>
      </x:c>
      <x:c r="B47" s="2" t="str">
        <x:v>vit-06-en</x:v>
      </x:c>
      <x:c r="C47" s="2" t="str">
        <x:v>en-&gt;en</x:v>
      </x:c>
      <x:c r="D47" s="2" t="str">
        <x:v>vit</x:v>
      </x:c>
      <x:c r="E47" s="19" t="str">
        <x:v>How does the original ViT adjust positional embeddings when fine-tuning at higher image resolution?</x:v>
      </x:c>
      <x:c r="F47" s="7" t="n">
        <x:v>1</x:v>
      </x:c>
      <x:c r="G47" s="7" t="n">
        <x:v>1</x:v>
      </x:c>
      <x:c r="H47" s="7" t="n">
        <x:v>1</x:v>
      </x:c>
      <x:c r="I47" s="20" t="n">
        <x:f>IF(H47&gt;0,1,0)</x:f>
        <x:v>1</x:v>
      </x:c>
      <x:c r="J47" s="8" t="n">
        <x:f>H47/F47</x:f>
        <x:v>1</x:v>
      </x:c>
      <x:c r="K47" s="9" t="n">
        <x:f>IF(G47="",0,1/G47)</x:f>
        <x:v>1</x:v>
      </x:c>
      <x:c r="L47" s="10" t="n">
        <x:v>21.788458001537947</x:v>
      </x:c>
      <x:c r="M47" s="10" t="n">
        <x:v>21.759499999461696</x:v>
      </x:c>
      <x:c r="N47" s="10" t="n">
        <x:v>21.168541999941226</x:v>
      </x:c>
      <x:c r="O47" s="10" t="n">
        <x:f>AVERAGE(L47:N47)</x:f>
        <x:v>21.57216666698029</x:v>
      </x:c>
      <x:c r="P47" s="19" t="str">
        <x:v>3d62a45b1688
7eb48c9359b3
5b02dff2de83
35b8ef654a38
40f8d16aaec2</x:v>
      </x:c>
      <x:c r="Q47" s="19" t="str">
        <x:v>vit.pdf 第4页
vit.pdf 第17页
vit.pdf 第4页
vit.pdf 第13页
vit.pdf 第4页</x:v>
      </x:c>
    </x:row>
    <x:row r="48" ht="95" customHeight="1">
      <x:c r="A48" s="2" t="str">
        <x:v>纯向量</x:v>
      </x:c>
      <x:c r="B48" s="2" t="str">
        <x:v>vit-07-zh</x:v>
      </x:c>
      <x:c r="C48" s="2" t="str">
        <x:v>zh-&gt;en</x:v>
      </x:c>
      <x:c r="D48" s="2" t="str">
        <x:v>vit</x:v>
      </x:c>
      <x:c r="E48" s="19" t="str">
        <x:v>原始ViT的ImageNet-21k预训练集类别数和图像数是多少？</x:v>
      </x:c>
      <x:c r="F48" s="7" t="n">
        <x:v>1</x:v>
      </x:c>
      <x:c r="G48" s="7" t="n">
        <x:v>5</x:v>
      </x:c>
      <x:c r="H48" s="7" t="n">
        <x:v>1</x:v>
      </x:c>
      <x:c r="I48" s="20" t="n">
        <x:f>IF(H48&gt;0,1,0)</x:f>
        <x:v>1</x:v>
      </x:c>
      <x:c r="J48" s="8" t="n">
        <x:f>H48/F48</x:f>
        <x:v>1</x:v>
      </x:c>
      <x:c r="K48" s="9" t="n">
        <x:f>IF(G48="",0,1/G48)</x:f>
        <x:v>0.2</x:v>
      </x:c>
      <x:c r="L48" s="10" t="n">
        <x:v>17.77162500002305</x:v>
      </x:c>
      <x:c r="M48" s="10" t="n">
        <x:v>17.51141700151493</x:v>
      </x:c>
      <x:c r="N48" s="10" t="n">
        <x:v>17.797624997911043</x:v>
      </x:c>
      <x:c r="O48" s="10" t="n">
        <x:f>AVERAGE(L48:N48)</x:f>
        <x:v>17.693555666483007</x:v>
      </x:c>
      <x:c r="P48" s="19" t="str">
        <x:v>216400db327d
aaa1c0527abb
6a7c2a4fa97a
1649d42ecbf2
abe2f1d08bd6</x:v>
      </x:c>
      <x:c r="Q48" s="19" t="str">
        <x:v>vit.pdf 第7页
vit.pdf 第7页
vit.pdf 第6页
vit.pdf 第14页
vit.pdf 第4页</x:v>
      </x:c>
    </x:row>
    <x:row r="49" ht="95" customHeight="1">
      <x:c r="A49" s="2" t="str">
        <x:v>纯向量</x:v>
      </x:c>
      <x:c r="B49" s="2" t="str">
        <x:v>vit-07-en</x:v>
      </x:c>
      <x:c r="C49" s="2" t="str">
        <x:v>en-&gt;en</x:v>
      </x:c>
      <x:c r="D49" s="2" t="str">
        <x:v>vit</x:v>
      </x:c>
      <x:c r="E49" s="19" t="str">
        <x:v>How many classes and images are in the ImageNet-21k pre-training set of the original ViT?</x:v>
      </x:c>
      <x:c r="F49" s="7" t="n">
        <x:v>1</x:v>
      </x:c>
      <x:c r="G49" s="7" t="n">
        <x:v>2</x:v>
      </x:c>
      <x:c r="H49" s="7" t="n">
        <x:v>1</x:v>
      </x:c>
      <x:c r="I49" s="20" t="n">
        <x:f>IF(H49&gt;0,1,0)</x:f>
        <x:v>1</x:v>
      </x:c>
      <x:c r="J49" s="8" t="n">
        <x:f>H49/F49</x:f>
        <x:v>1</x:v>
      </x:c>
      <x:c r="K49" s="9" t="n">
        <x:f>IF(G49="",0,1/G49)</x:f>
        <x:v>0.5</x:v>
      </x:c>
      <x:c r="L49" s="10" t="n">
        <x:v>17.334957999992184</x:v>
      </x:c>
      <x:c r="M49" s="10" t="n">
        <x:v>17.728040998918004</x:v>
      </x:c>
      <x:c r="N49" s="10" t="n">
        <x:v>17.56412499889848</x:v>
      </x:c>
      <x:c r="O49" s="10" t="n">
        <x:f>AVERAGE(L49:N49)</x:f>
        <x:v>17.542374665936222</x:v>
      </x:c>
      <x:c r="P49" s="19" t="str">
        <x:v>216400db327d
abe2f1d08bd6
aaa1c0527abb
1656962e3326
da1f4c9e8739</x:v>
      </x:c>
      <x:c r="Q49" s="19" t="str">
        <x:v>vit.pdf 第7页
vit.pdf 第4页
vit.pdf 第7页
vit.pdf 第6页
vit.pdf 第5页</x:v>
      </x:c>
    </x:row>
    <x:row r="50" ht="95" customHeight="1">
      <x:c r="A50" s="2" t="str">
        <x:v>纯向量</x:v>
      </x:c>
      <x:c r="B50" s="2" t="str">
        <x:v>vit-08-zh</x:v>
      </x:c>
      <x:c r="C50" s="2" t="str">
        <x:v>zh-&gt;en</x:v>
      </x:c>
      <x:c r="D50" s="2" t="str">
        <x:v>vit</x:v>
      </x:c>
      <x:c r="E50" s="19" t="str">
        <x:v>原始ViT微调采用什么优化器及动量值？</x:v>
      </x:c>
      <x:c r="F50" s="7" t="n">
        <x:v>1</x:v>
      </x:c>
      <x:c r="G50" s="7"/>
      <x:c r="H50" s="7" t="n">
        <x:v>0</x:v>
      </x:c>
      <x:c r="I50" s="20" t="n">
        <x:f>IF(H50&gt;0,1,0)</x:f>
        <x:v>0</x:v>
      </x:c>
      <x:c r="J50" s="8" t="n">
        <x:f>H50/F50</x:f>
        <x:v>0</x:v>
      </x:c>
      <x:c r="K50" s="9" t="n">
        <x:f>IF(G50="",0,1/G50)</x:f>
        <x:v>0</x:v>
      </x:c>
      <x:c r="L50" s="10" t="n">
        <x:v>16.93566600079066</x:v>
      </x:c>
      <x:c r="M50" s="10" t="n">
        <x:v>18.624749998707557</x:v>
      </x:c>
      <x:c r="N50" s="10" t="n">
        <x:v>19.238542001403403</x:v>
      </x:c>
      <x:c r="O50" s="10" t="n">
        <x:f>AVERAGE(L50:N50)</x:f>
        <x:v>18.266319333633874</x:v>
      </x:c>
      <x:c r="P50" s="19" t="str">
        <x:v>fe92a83a9be3
9b0b9c2680b6
9bb9cb71c365
cacfd61ab6f7
aaa1c0527abb</x:v>
      </x:c>
      <x:c r="Q50" s="19" t="str">
        <x:v>vision_survey.pdf 第4页
vit.pdf 第6页
vit.pdf 第19页
vit.pdf 第7页
vit.pdf 第7页</x:v>
      </x:c>
    </x:row>
    <x:row r="51" ht="95" customHeight="1">
      <x:c r="A51" s="2" t="str">
        <x:v>纯向量</x:v>
      </x:c>
      <x:c r="B51" s="2" t="str">
        <x:v>vit-08-en</x:v>
      </x:c>
      <x:c r="C51" s="2" t="str">
        <x:v>en-&gt;en</x:v>
      </x:c>
      <x:c r="D51" s="2" t="str">
        <x:v>vit</x:v>
      </x:c>
      <x:c r="E51" s="19" t="str">
        <x:v>Which optimizer and momentum value are used for fine-tuning the original ViT?</x:v>
      </x:c>
      <x:c r="F51" s="7" t="n">
        <x:v>1</x:v>
      </x:c>
      <x:c r="G51" s="7"/>
      <x:c r="H51" s="7" t="n">
        <x:v>0</x:v>
      </x:c>
      <x:c r="I51" s="20" t="n">
        <x:f>IF(H51&gt;0,1,0)</x:f>
        <x:v>0</x:v>
      </x:c>
      <x:c r="J51" s="8" t="n">
        <x:f>H51/F51</x:f>
        <x:v>0</x:v>
      </x:c>
      <x:c r="K51" s="9" t="n">
        <x:f>IF(G51="",0,1/G51)</x:f>
        <x:v>0</x:v>
      </x:c>
      <x:c r="L51" s="10" t="n">
        <x:v>18.986042003234616</x:v>
      </x:c>
      <x:c r="M51" s="10" t="n">
        <x:v>17.93366699712351</x:v>
      </x:c>
      <x:c r="N51" s="10" t="n">
        <x:v>17.547957999340724</x:v>
      </x:c>
      <x:c r="O51" s="10" t="n">
        <x:f>AVERAGE(L51:N51)</x:f>
        <x:v>18.155888999899616</x:v>
      </x:c>
      <x:c r="P51" s="19" t="str">
        <x:v>16c65d443367
40c9b2120ad1
0fb0eae9597c
cacfd61ab6f7
9bb9cb71c365</x:v>
      </x:c>
      <x:c r="Q51" s="19" t="str">
        <x:v>vit.pdf 第22页
vit.pdf 第8页
vit.pdf 第5页
vit.pdf 第7页
vit.pdf 第19页</x:v>
      </x:c>
    </x:row>
    <x:row r="52" ht="95" customHeight="1">
      <x:c r="A52" s="2" t="str">
        <x:v>纯向量</x:v>
      </x:c>
      <x:c r="B52" s="2" t="str">
        <x:v>cnn_survey-01-zh</x:v>
      </x:c>
      <x:c r="C52" s="2" t="str">
        <x:v>zh-&gt;zh</x:v>
      </x:c>
      <x:c r="D52" s="2" t="str">
        <x:v>cnn_survey</x:v>
      </x:c>
      <x:c r="E52" s="19" t="str">
        <x:v>周飞燕等的CNN综述中，卷积层为什么能减少可训练参数？</x:v>
      </x:c>
      <x:c r="F52" s="7" t="n">
        <x:v>2</x:v>
      </x:c>
      <x:c r="G52" s="7"/>
      <x:c r="H52" s="7" t="n">
        <x:v>0</x:v>
      </x:c>
      <x:c r="I52" s="20" t="n">
        <x:f>IF(H52&gt;0,1,0)</x:f>
        <x:v>0</x:v>
      </x:c>
      <x:c r="J52" s="8" t="n">
        <x:f>H52/F52</x:f>
        <x:v>0</x:v>
      </x:c>
      <x:c r="K52" s="9" t="n">
        <x:f>IF(G52="",0,1/G52)</x:f>
        <x:v>0</x:v>
      </x:c>
      <x:c r="L52" s="10" t="n">
        <x:v>17.925000000104774</x:v>
      </x:c>
      <x:c r="M52" s="10" t="n">
        <x:v>17.953083999600494</x:v>
      </x:c>
      <x:c r="N52" s="10" t="n">
        <x:v>17.812124999181833</x:v>
      </x:c>
      <x:c r="O52" s="10" t="n">
        <x:f>AVERAGE(L52:N52)</x:f>
        <x:v>17.896736332962366</x:v>
      </x:c>
      <x:c r="P52" s="19" t="str">
        <x:v>643311f2d6d5
59cf668d4f71
6e11ec046b73
cf37c35249bd
d2600e5d0758</x:v>
      </x:c>
      <x:c r="Q52" s="19" t="str">
        <x:v>cnn_survey.pdf 第5页
cnn_survey.pdf 第9页
cnn_survey.pdf 第7页
cnn_survey.pdf 第13页
cnn_survey.pdf 第5页</x:v>
      </x:c>
    </x:row>
    <x:row r="53" ht="95" customHeight="1">
      <x:c r="A53" s="2" t="str">
        <x:v>纯向量</x:v>
      </x:c>
      <x:c r="B53" s="2" t="str">
        <x:v>cnn_survey-01-en</x:v>
      </x:c>
      <x:c r="C53" s="2" t="str">
        <x:v>en-&gt;zh</x:v>
      </x:c>
      <x:c r="D53" s="2" t="str">
        <x:v>cnn_survey</x:v>
      </x:c>
      <x:c r="E53" s="19" t="str">
        <x:v>According to Zhou et al. CNN survey, why can convolutional layers reduce trainable parameters?</x:v>
      </x:c>
      <x:c r="F53" s="7" t="n">
        <x:v>2</x:v>
      </x:c>
      <x:c r="G53" s="7"/>
      <x:c r="H53" s="7" t="n">
        <x:v>0</x:v>
      </x:c>
      <x:c r="I53" s="20" t="n">
        <x:f>IF(H53&gt;0,1,0)</x:f>
        <x:v>0</x:v>
      </x:c>
      <x:c r="J53" s="8" t="n">
        <x:f>H53/F53</x:f>
        <x:v>0</x:v>
      </x:c>
      <x:c r="K53" s="9" t="n">
        <x:f>IF(G53="",0,1/G53)</x:f>
        <x:v>0</x:v>
      </x:c>
      <x:c r="L53" s="10" t="n">
        <x:v>16.772374998254236</x:v>
      </x:c>
      <x:c r="M53" s="10" t="n">
        <x:v>17.490583002654603</x:v>
      </x:c>
      <x:c r="N53" s="10" t="n">
        <x:v>17.699957999866456</x:v>
      </x:c>
      <x:c r="O53" s="10" t="n">
        <x:f>AVERAGE(L53:N53)</x:f>
        <x:v>17.320972000258433</x:v>
      </x:c>
      <x:c r="P53" s="19" t="str">
        <x:v>a14727952238
f6fa6b8498cb
605f8c14194d
b0e3ac9390a7
c191794a7416</x:v>
      </x:c>
      <x:c r="Q53" s="19" t="str">
        <x:v>vision_survey.pdf 第21页
vit.pdf 第2页
vit.pdf 第8页
compression.pdf 第16页
vit.pdf 第10页</x:v>
      </x:c>
    </x:row>
    <x:row r="54" ht="95" customHeight="1">
      <x:c r="A54" s="2" t="str">
        <x:v>纯向量</x:v>
      </x:c>
      <x:c r="B54" s="2" t="str">
        <x:v>cnn_survey-02-zh</x:v>
      </x:c>
      <x:c r="C54" s="2" t="str">
        <x:v>zh-&gt;zh</x:v>
      </x:c>
      <x:c r="D54" s="2" t="str">
        <x:v>cnn_survey</x:v>
      </x:c>
      <x:c r="E54" s="19" t="str">
        <x:v>周飞燕等的CNN综述中，最大池化和均值池化分别怎么计算？</x:v>
      </x:c>
      <x:c r="F54" s="7" t="n">
        <x:v>1</x:v>
      </x:c>
      <x:c r="G54" s="7" t="n">
        <x:v>2</x:v>
      </x:c>
      <x:c r="H54" s="7" t="n">
        <x:v>1</x:v>
      </x:c>
      <x:c r="I54" s="20" t="n">
        <x:f>IF(H54&gt;0,1,0)</x:f>
        <x:v>1</x:v>
      </x:c>
      <x:c r="J54" s="8" t="n">
        <x:f>H54/F54</x:f>
        <x:v>1</x:v>
      </x:c>
      <x:c r="K54" s="9" t="n">
        <x:f>IF(G54="",0,1/G54)</x:f>
        <x:v>0.5</x:v>
      </x:c>
      <x:c r="L54" s="10" t="n">
        <x:v>17.95191699784482</x:v>
      </x:c>
      <x:c r="M54" s="10" t="n">
        <x:v>17.86816700041527</x:v>
      </x:c>
      <x:c r="N54" s="10" t="n">
        <x:v>18.007207996561192</x:v>
      </x:c>
      <x:c r="O54" s="10" t="n">
        <x:f>AVERAGE(L54:N54)</x:f>
        <x:v>17.942430664940428</x:v>
      </x:c>
      <x:c r="P54" s="19" t="str">
        <x:v>f2bf4875d6e6
a30034f8a1e5
42b4f550385e
f49ac1262307
f6fa6b8498cb</x:v>
      </x:c>
      <x:c r="Q54" s="19" t="str">
        <x:v>cnn_survey.pdf 第6页
cnn_survey.pdf 第6页
cnn_survey.pdf 第8页
cnn_survey.pdf 第6页
vit.pdf 第2页</x:v>
      </x:c>
    </x:row>
    <x:row r="55" ht="95" customHeight="1">
      <x:c r="A55" s="2" t="str">
        <x:v>纯向量</x:v>
      </x:c>
      <x:c r="B55" s="2" t="str">
        <x:v>cnn_survey-02-en</x:v>
      </x:c>
      <x:c r="C55" s="2" t="str">
        <x:v>en-&gt;zh</x:v>
      </x:c>
      <x:c r="D55" s="2" t="str">
        <x:v>cnn_survey</x:v>
      </x:c>
      <x:c r="E55" s="19" t="str">
        <x:v>According to Zhou et al. CNN survey, how are max pooling and average pooling computed?</x:v>
      </x:c>
      <x:c r="F55" s="7" t="n">
        <x:v>1</x:v>
      </x:c>
      <x:c r="G55" s="7"/>
      <x:c r="H55" s="7" t="n">
        <x:v>0</x:v>
      </x:c>
      <x:c r="I55" s="20" t="n">
        <x:f>IF(H55&gt;0,1,0)</x:f>
        <x:v>0</x:v>
      </x:c>
      <x:c r="J55" s="8" t="n">
        <x:f>H55/F55</x:f>
        <x:v>0</x:v>
      </x:c>
      <x:c r="K55" s="9" t="n">
        <x:f>IF(G55="",0,1/G55)</x:f>
        <x:v>0</x:v>
      </x:c>
      <x:c r="L55" s="10" t="n">
        <x:v>17.465416000050027</x:v>
      </x:c>
      <x:c r="M55" s="10" t="n">
        <x:v>17.96387500144192</x:v>
      </x:c>
      <x:c r="N55" s="10" t="n">
        <x:v>17.954792001546593</x:v>
      </x:c>
      <x:c r="O55" s="10" t="n">
        <x:f>AVERAGE(L55:N55)</x:f>
        <x:v>17.79469433434618</x:v>
      </x:c>
      <x:c r="P55" s="19" t="str">
        <x:v>f6fa6b8498cb
689a3c8da973
a14727952238
b2c5ca4a2c2d
d31487129876</x:v>
      </x:c>
      <x:c r="Q55" s="19" t="str">
        <x:v>vit.pdf 第2页
vit.pdf 第17页
vision_survey.pdf 第21页
vit.pdf 第2页
vit.pdf 第20页</x:v>
      </x:c>
    </x:row>
    <x:row r="56" ht="95" customHeight="1">
      <x:c r="A56" s="2" t="str">
        <x:v>纯向量</x:v>
      </x:c>
      <x:c r="B56" s="2" t="str">
        <x:v>cnn_survey-03-zh</x:v>
      </x:c>
      <x:c r="C56" s="2" t="str">
        <x:v>zh-&gt;zh</x:v>
      </x:c>
      <x:c r="D56" s="2" t="str">
        <x:v>cnn_survey</x:v>
      </x:c>
      <x:c r="E56" s="19" t="str">
        <x:v>周飞燕等的CNN综述怎样解释dropout防止过拟合？</x:v>
      </x:c>
      <x:c r="F56" s="7" t="n">
        <x:v>1</x:v>
      </x:c>
      <x:c r="G56" s="7"/>
      <x:c r="H56" s="7" t="n">
        <x:v>0</x:v>
      </x:c>
      <x:c r="I56" s="20" t="n">
        <x:f>IF(H56&gt;0,1,0)</x:f>
        <x:v>0</x:v>
      </x:c>
      <x:c r="J56" s="8" t="n">
        <x:f>H56/F56</x:f>
        <x:v>0</x:v>
      </x:c>
      <x:c r="K56" s="9" t="n">
        <x:f>IF(G56="",0,1/G56)</x:f>
        <x:v>0</x:v>
      </x:c>
      <x:c r="L56" s="10" t="n">
        <x:v>17.629500001930865</x:v>
      </x:c>
      <x:c r="M56" s="10" t="n">
        <x:v>17.70254100119928</x:v>
      </x:c>
      <x:c r="N56" s="10" t="n">
        <x:v>17.65187499768217</x:v>
      </x:c>
      <x:c r="O56" s="10" t="n">
        <x:f>AVERAGE(L56:N56)</x:f>
        <x:v>17.661305333604105</x:v>
      </x:c>
      <x:c r="P56" s="19" t="str">
        <x:v>f2d7f5316027
cf37c35249bd
59cf668d4f71
6e11ec046b73
643311f2d6d5</x:v>
      </x:c>
      <x:c r="Q56" s="19" t="str">
        <x:v>vision_survey.pdf 第7页
cnn_survey.pdf 第13页
cnn_survey.pdf 第9页
cnn_survey.pdf 第7页
cnn_survey.pdf 第5页</x:v>
      </x:c>
    </x:row>
    <x:row r="57" ht="95" customHeight="1">
      <x:c r="A57" s="2" t="str">
        <x:v>纯向量</x:v>
      </x:c>
      <x:c r="B57" s="2" t="str">
        <x:v>cnn_survey-03-en</x:v>
      </x:c>
      <x:c r="C57" s="2" t="str">
        <x:v>en-&gt;zh</x:v>
      </x:c>
      <x:c r="D57" s="2" t="str">
        <x:v>cnn_survey</x:v>
      </x:c>
      <x:c r="E57" s="19" t="str">
        <x:v>How does Zhou et al. CNN survey explain the way dropout prevents overfitting?</x:v>
      </x:c>
      <x:c r="F57" s="7" t="n">
        <x:v>1</x:v>
      </x:c>
      <x:c r="G57" s="7"/>
      <x:c r="H57" s="7" t="n">
        <x:v>0</x:v>
      </x:c>
      <x:c r="I57" s="20" t="n">
        <x:f>IF(H57&gt;0,1,0)</x:f>
        <x:v>0</x:v>
      </x:c>
      <x:c r="J57" s="8" t="n">
        <x:f>H57/F57</x:f>
        <x:v>0</x:v>
      </x:c>
      <x:c r="K57" s="9" t="n">
        <x:f>IF(G57="",0,1/G57)</x:f>
        <x:v>0</x:v>
      </x:c>
      <x:c r="L57" s="10" t="n">
        <x:v>17.463541000324767</x:v>
      </x:c>
      <x:c r="M57" s="10" t="n">
        <x:v>17.873500000860076</x:v>
      </x:c>
      <x:c r="N57" s="10" t="n">
        <x:v>18.39983299942105</x:v>
      </x:c>
      <x:c r="O57" s="10" t="n">
        <x:f>AVERAGE(L57:N57)</x:f>
        <x:v>17.912291333535297</x:v>
      </x:c>
      <x:c r="P57" s="19" t="str">
        <x:v>3754cb9c4e07
f6fa6b8498cb
402ad760d7eb
e6f32c7b359e
64ee4d70ad73</x:v>
      </x:c>
      <x:c r="Q57" s="19" t="str">
        <x:v>attention.pdf 第12页
vit.pdf 第2页
bert.pdf 第14页
vit.pdf 第2页
bert.pdf 第6页</x:v>
      </x:c>
    </x:row>
    <x:row r="58" ht="95" customHeight="1">
      <x:c r="A58" s="2" t="str">
        <x:v>纯向量</x:v>
      </x:c>
      <x:c r="B58" s="2" t="str">
        <x:v>cnn_survey-04-zh</x:v>
      </x:c>
      <x:c r="C58" s="2" t="str">
        <x:v>zh-&gt;zh</x:v>
      </x:c>
      <x:c r="D58" s="2" t="str">
        <x:v>cnn_survey</x:v>
      </x:c>
      <x:c r="E58" s="19" t="str">
        <x:v>周飞燕等的CNN综述中，网中网怎样替代卷积和全连接层？</x:v>
      </x:c>
      <x:c r="F58" s="7" t="n">
        <x:v>2</x:v>
      </x:c>
      <x:c r="G58" s="7"/>
      <x:c r="H58" s="7" t="n">
        <x:v>0</x:v>
      </x:c>
      <x:c r="I58" s="20" t="n">
        <x:f>IF(H58&gt;0,1,0)</x:f>
        <x:v>0</x:v>
      </x:c>
      <x:c r="J58" s="8" t="n">
        <x:f>H58/F58</x:f>
        <x:v>0</x:v>
      </x:c>
      <x:c r="K58" s="9" t="n">
        <x:f>IF(G58="",0,1/G58)</x:f>
        <x:v>0</x:v>
      </x:c>
      <x:c r="L58" s="10" t="n">
        <x:v>16.931415997532895</x:v>
      </x:c>
      <x:c r="M58" s="10" t="n">
        <x:v>17.86799999899813</x:v>
      </x:c>
      <x:c r="N58" s="10" t="n">
        <x:v>17.83491700189188</x:v>
      </x:c>
      <x:c r="O58" s="10" t="n">
        <x:f>AVERAGE(L58:N58)</x:f>
        <x:v>17.54477766614097</x:v>
      </x:c>
      <x:c r="P58" s="19" t="str">
        <x:v>59cf668d4f71
6e11ec046b73
643311f2d6d5
5ab54d4a36c8
62b0af7539bf</x:v>
      </x:c>
      <x:c r="Q58" s="19" t="str">
        <x:v>cnn_survey.pdf 第9页
cnn_survey.pdf 第7页
cnn_survey.pdf 第5页
compression.pdf 第13页
cnn_survey.pdf 第11页</x:v>
      </x:c>
    </x:row>
    <x:row r="59" ht="95" customHeight="1">
      <x:c r="A59" s="2" t="str">
        <x:v>纯向量</x:v>
      </x:c>
      <x:c r="B59" s="2" t="str">
        <x:v>cnn_survey-04-en</x:v>
      </x:c>
      <x:c r="C59" s="2" t="str">
        <x:v>en-&gt;zh</x:v>
      </x:c>
      <x:c r="D59" s="2" t="str">
        <x:v>cnn_survey</x:v>
      </x:c>
      <x:c r="E59" s="19" t="str">
        <x:v>In Zhou et al. CNN survey, how does Network in Network replace convolution and fully connected layers?</x:v>
      </x:c>
      <x:c r="F59" s="7" t="n">
        <x:v>2</x:v>
      </x:c>
      <x:c r="G59" s="7"/>
      <x:c r="H59" s="7" t="n">
        <x:v>0</x:v>
      </x:c>
      <x:c r="I59" s="20" t="n">
        <x:f>IF(H59&gt;0,1,0)</x:f>
        <x:v>0</x:v>
      </x:c>
      <x:c r="J59" s="8" t="n">
        <x:f>H59/F59</x:f>
        <x:v>0</x:v>
      </x:c>
      <x:c r="K59" s="9" t="n">
        <x:f>IF(G59="",0,1/G59)</x:f>
        <x:v>0</x:v>
      </x:c>
      <x:c r="L59" s="10" t="n">
        <x:v>17.96062499852269</x:v>
      </x:c>
      <x:c r="M59" s="10" t="n">
        <x:v>17.91458300067461</x:v>
      </x:c>
      <x:c r="N59" s="10" t="n">
        <x:v>16.991417000099318</x:v>
      </x:c>
      <x:c r="O59" s="10" t="n">
        <x:f>AVERAGE(L59:N59)</x:f>
        <x:v>17.62220833309887</x:v>
      </x:c>
      <x:c r="P59" s="19" t="str">
        <x:v>a14727952238
b3b5e22dca8b
0c607e588366
f6fa6b8498cb
d4a880565d54</x:v>
      </x:c>
      <x:c r="Q59" s="19" t="str">
        <x:v>vision_survey.pdf 第21页
vision_survey.pdf 第21页
compression.pdf 第16页
vit.pdf 第2页
compression.pdf 第16页</x:v>
      </x:c>
    </x:row>
    <x:row r="60" ht="95" customHeight="1">
      <x:c r="A60" s="2" t="str">
        <x:v>纯向量</x:v>
      </x:c>
      <x:c r="B60" s="2" t="str">
        <x:v>cnn_survey-05-zh</x:v>
      </x:c>
      <x:c r="C60" s="2" t="str">
        <x:v>zh-&gt;zh</x:v>
      </x:c>
      <x:c r="D60" s="2" t="str">
        <x:v>cnn_survey</x:v>
      </x:c>
      <x:c r="E60" s="19" t="str">
        <x:v>周飞燕等的CNN综述中，空间变换网络由哪些组件构成？</x:v>
      </x:c>
      <x:c r="F60" s="7" t="n">
        <x:v>1</x:v>
      </x:c>
      <x:c r="G60" s="7"/>
      <x:c r="H60" s="7" t="n">
        <x:v>0</x:v>
      </x:c>
      <x:c r="I60" s="20" t="n">
        <x:f>IF(H60&gt;0,1,0)</x:f>
        <x:v>0</x:v>
      </x:c>
      <x:c r="J60" s="8" t="n">
        <x:f>H60/F60</x:f>
        <x:v>0</x:v>
      </x:c>
      <x:c r="K60" s="9" t="n">
        <x:f>IF(G60="",0,1/G60)</x:f>
        <x:v>0</x:v>
      </x:c>
      <x:c r="L60" s="10" t="n">
        <x:v>17.831916000432102</x:v>
      </x:c>
      <x:c r="M60" s="10" t="n">
        <x:v>17.622125000343658</x:v>
      </x:c>
      <x:c r="N60" s="10" t="n">
        <x:v>17.798542001401074</x:v>
      </x:c>
      <x:c r="O60" s="10" t="n">
        <x:f>AVERAGE(L60:N60)</x:f>
        <x:v>17.75086100072561</x:v>
      </x:c>
      <x:c r="P60" s="19" t="str">
        <x:v>59cf668d4f71
9849e7db02fd
670f5ed67a6d
b5dad46f8fd0
62b0af7539bf</x:v>
      </x:c>
      <x:c r="Q60" s="19" t="str">
        <x:v>cnn_survey.pdf 第9页
vision_survey.pdf 第7页
vision_survey.pdf 第17页
vision_survey.pdf 第5页
cnn_survey.pdf 第11页</x:v>
      </x:c>
    </x:row>
    <x:row r="61" ht="95" customHeight="1">
      <x:c r="A61" s="2" t="str">
        <x:v>纯向量</x:v>
      </x:c>
      <x:c r="B61" s="2" t="str">
        <x:v>cnn_survey-05-en</x:v>
      </x:c>
      <x:c r="C61" s="2" t="str">
        <x:v>en-&gt;zh</x:v>
      </x:c>
      <x:c r="D61" s="2" t="str">
        <x:v>cnn_survey</x:v>
      </x:c>
      <x:c r="E61" s="19" t="str">
        <x:v>In Zhou et al. CNN survey, which components make up a spatial transformer network?</x:v>
      </x:c>
      <x:c r="F61" s="7" t="n">
        <x:v>1</x:v>
      </x:c>
      <x:c r="G61" s="7"/>
      <x:c r="H61" s="7" t="n">
        <x:v>0</x:v>
      </x:c>
      <x:c r="I61" s="20" t="n">
        <x:f>IF(H61&gt;0,1,0)</x:f>
        <x:v>0</x:v>
      </x:c>
      <x:c r="J61" s="8" t="n">
        <x:f>H61/F61</x:f>
        <x:v>0</x:v>
      </x:c>
      <x:c r="K61" s="9" t="n">
        <x:f>IF(G61="",0,1/G61)</x:f>
        <x:v>0</x:v>
      </x:c>
      <x:c r="L61" s="10" t="n">
        <x:v>18.694958002015483</x:v>
      </x:c>
      <x:c r="M61" s="10" t="n">
        <x:v>20.42470800006413</x:v>
      </x:c>
      <x:c r="N61" s="10" t="n">
        <x:v>19.16545799758751</x:v>
      </x:c>
      <x:c r="O61" s="10" t="n">
        <x:f>AVERAGE(L61:N61)</x:f>
        <x:v>19.428374666555708</x:v>
      </x:c>
      <x:c r="P61" s="19" t="str">
        <x:v>f6fa6b8498cb
b2c5ca4a2c2d
430cc231bdbc
9d4afa97b483
b3b5e22dca8b</x:v>
      </x:c>
      <x:c r="Q61" s="19" t="str">
        <x:v>vit.pdf 第2页
vit.pdf 第2页
vit.pdf 第1页
vision_survey.pdf 第20页
vision_survey.pdf 第21页</x:v>
      </x:c>
    </x:row>
    <x:row r="62" ht="95" customHeight="1">
      <x:c r="A62" s="2" t="str">
        <x:v>纯向量</x:v>
      </x:c>
      <x:c r="B62" s="2" t="str">
        <x:v>cnn_survey-06-zh</x:v>
      </x:c>
      <x:c r="C62" s="2" t="str">
        <x:v>zh-&gt;zh</x:v>
      </x:c>
      <x:c r="D62" s="2" t="str">
        <x:v>cnn_survey</x:v>
      </x:c>
      <x:c r="E62" s="19" t="str">
        <x:v>周飞燕等的CNN综述为什么要求以不同的小随机数初始化权重？</x:v>
      </x:c>
      <x:c r="F62" s="7" t="n">
        <x:v>1</x:v>
      </x:c>
      <x:c r="G62" s="7" t="n">
        <x:v>1</x:v>
      </x:c>
      <x:c r="H62" s="7" t="n">
        <x:v>1</x:v>
      </x:c>
      <x:c r="I62" s="20" t="n">
        <x:f>IF(H62&gt;0,1,0)</x:f>
        <x:v>1</x:v>
      </x:c>
      <x:c r="J62" s="8" t="n">
        <x:f>H62/F62</x:f>
        <x:v>1</x:v>
      </x:c>
      <x:c r="K62" s="9" t="n">
        <x:f>IF(G62="",0,1/G62)</x:f>
        <x:v>1</x:v>
      </x:c>
      <x:c r="L62" s="10" t="n">
        <x:v>17.88808300261735</x:v>
      </x:c>
      <x:c r="M62" s="10" t="n">
        <x:v>18.07191599800717</x:v>
      </x:c>
      <x:c r="N62" s="10" t="n">
        <x:v>17.991457996686222</x:v>
      </x:c>
      <x:c r="O62" s="10" t="n">
        <x:f>AVERAGE(L62:N62)</x:f>
        <x:v>17.98381899910358</x:v>
      </x:c>
      <x:c r="P62" s="19" t="str">
        <x:v>38f71ea35841
5ef634b107cb
f6fa6b8498cb
a4762fa16ea8
f2d7f5316027</x:v>
      </x:c>
      <x:c r="Q62" s="19" t="str">
        <x:v>cnn_survey.pdf 第9页
compression.pdf 第10页
vit.pdf 第2页
vit.pdf 第8页
vision_survey.pdf 第7页</x:v>
      </x:c>
    </x:row>
    <x:row r="63" ht="95" customHeight="1">
      <x:c r="A63" s="2" t="str">
        <x:v>纯向量</x:v>
      </x:c>
      <x:c r="B63" s="2" t="str">
        <x:v>cnn_survey-06-en</x:v>
      </x:c>
      <x:c r="C63" s="2" t="str">
        <x:v>en-&gt;zh</x:v>
      </x:c>
      <x:c r="D63" s="2" t="str">
        <x:v>cnn_survey</x:v>
      </x:c>
      <x:c r="E63" s="19" t="str">
        <x:v>Why does Zhou et al. CNN survey require initializing weights with different small random numbers?</x:v>
      </x:c>
      <x:c r="F63" s="7" t="n">
        <x:v>1</x:v>
      </x:c>
      <x:c r="G63" s="7"/>
      <x:c r="H63" s="7" t="n">
        <x:v>0</x:v>
      </x:c>
      <x:c r="I63" s="20" t="n">
        <x:f>IF(H63&gt;0,1,0)</x:f>
        <x:v>0</x:v>
      </x:c>
      <x:c r="J63" s="8" t="n">
        <x:f>H63/F63</x:f>
        <x:v>0</x:v>
      </x:c>
      <x:c r="K63" s="9" t="n">
        <x:f>IF(G63="",0,1/G63)</x:f>
        <x:v>0</x:v>
      </x:c>
      <x:c r="L63" s="10" t="n">
        <x:v>22.913374999916414</x:v>
      </x:c>
      <x:c r="M63" s="10" t="n">
        <x:v>22.135750001325505</x:v>
      </x:c>
      <x:c r="N63" s="10" t="n">
        <x:v>20.99241600080859</x:v>
      </x:c>
      <x:c r="O63" s="10" t="n">
        <x:f>AVERAGE(L63:N63)</x:f>
        <x:v>22.0138470006835</x:v>
      </x:c>
      <x:c r="P63" s="19" t="str">
        <x:v>f6fa6b8498cb
402ad760d7eb
d31487129876
a000f3f08239
5c42ea231c10</x:v>
      </x:c>
      <x:c r="Q63" s="19" t="str">
        <x:v>vit.pdf 第2页
bert.pdf 第14页
vit.pdf 第20页
vit.pdf 第2页
vit.pdf 第13页</x:v>
      </x:c>
    </x:row>
    <x:row r="64" ht="95" customHeight="1">
      <x:c r="A64" s="2" t="str">
        <x:v>纯向量</x:v>
      </x:c>
      <x:c r="B64" s="2" t="str">
        <x:v>cnn_survey-07-zh</x:v>
      </x:c>
      <x:c r="C64" s="2" t="str">
        <x:v>zh-&gt;zh</x:v>
      </x:c>
      <x:c r="D64" s="2" t="str">
        <x:v>cnn_survey</x:v>
      </x:c>
      <x:c r="E64" s="19" t="str">
        <x:v>周飞燕等的CNN综述中，残差网络用什么连接缓解深层网络退化？</x:v>
      </x:c>
      <x:c r="F64" s="7" t="n">
        <x:v>1</x:v>
      </x:c>
      <x:c r="G64" s="7" t="n">
        <x:v>1</x:v>
      </x:c>
      <x:c r="H64" s="7" t="n">
        <x:v>1</x:v>
      </x:c>
      <x:c r="I64" s="20" t="n">
        <x:f>IF(H64&gt;0,1,0)</x:f>
        <x:v>1</x:v>
      </x:c>
      <x:c r="J64" s="8" t="n">
        <x:f>H64/F64</x:f>
        <x:v>1</x:v>
      </x:c>
      <x:c r="K64" s="9" t="n">
        <x:f>IF(G64="",0,1/G64)</x:f>
        <x:v>1</x:v>
      </x:c>
      <x:c r="L64" s="10" t="n">
        <x:v>17.223167000338435</x:v>
      </x:c>
      <x:c r="M64" s="10" t="n">
        <x:v>18.004000001383247</x:v>
      </x:c>
      <x:c r="N64" s="10" t="n">
        <x:v>17.928665998624638</x:v>
      </x:c>
      <x:c r="O64" s="10" t="n">
        <x:f>AVERAGE(L64:N64)</x:f>
        <x:v>17.71861100011544</x:v>
      </x:c>
      <x:c r="P64" s="19" t="str">
        <x:v>caf41a180249
45abf23685d6
1ac4c718865d
59cf668d4f71
643311f2d6d5</x:v>
      </x:c>
      <x:c r="Q64" s="19" t="str">
        <x:v>cnn_survey.pdf 第12页
compression.pdf 第2页
vision_survey.pdf 第5页
cnn_survey.pdf 第9页
cnn_survey.pdf 第5页</x:v>
      </x:c>
    </x:row>
    <x:row r="65" ht="95" customHeight="1">
      <x:c r="A65" s="2" t="str">
        <x:v>纯向量</x:v>
      </x:c>
      <x:c r="B65" s="2" t="str">
        <x:v>cnn_survey-07-en</x:v>
      </x:c>
      <x:c r="C65" s="2" t="str">
        <x:v>en-&gt;zh</x:v>
      </x:c>
      <x:c r="D65" s="2" t="str">
        <x:v>cnn_survey</x:v>
      </x:c>
      <x:c r="E65" s="19" t="str">
        <x:v>In Zhou et al. CNN survey, what connection does ResNet use to alleviate degradation in deep networks?</x:v>
      </x:c>
      <x:c r="F65" s="7" t="n">
        <x:v>1</x:v>
      </x:c>
      <x:c r="G65" s="7"/>
      <x:c r="H65" s="7" t="n">
        <x:v>0</x:v>
      </x:c>
      <x:c r="I65" s="20" t="n">
        <x:f>IF(H65&gt;0,1,0)</x:f>
        <x:v>0</x:v>
      </x:c>
      <x:c r="J65" s="8" t="n">
        <x:f>H65/F65</x:f>
        <x:v>0</x:v>
      </x:c>
      <x:c r="K65" s="9" t="n">
        <x:f>IF(G65="",0,1/G65)</x:f>
        <x:v>0</x:v>
      </x:c>
      <x:c r="L65" s="10" t="n">
        <x:v>21.914541997830383</x:v>
      </x:c>
      <x:c r="M65" s="10" t="n">
        <x:v>21.339874998375308</x:v>
      </x:c>
      <x:c r="N65" s="10" t="n">
        <x:v>21.729832998971688</x:v>
      </x:c>
      <x:c r="O65" s="10" t="n">
        <x:f>AVERAGE(L65:N65)</x:f>
        <x:v>21.661416665059125</x:v>
      </x:c>
      <x:c r="P65" s="19" t="str">
        <x:v>d6cf399d48d2
f6fa6b8498cb
6091b63ae8ca
a14727952238
df94c77261ca</x:v>
      </x:c>
      <x:c r="Q65" s="19" t="str">
        <x:v>vision_survey.pdf 第20页
vit.pdf 第2页
compression.pdf 第11页
vision_survey.pdf 第21页
compression.pdf 第14页</x:v>
      </x:c>
    </x:row>
    <x:row r="66" ht="95" customHeight="1">
      <x:c r="A66" s="2" t="str">
        <x:v>纯向量</x:v>
      </x:c>
      <x:c r="B66" s="2" t="str">
        <x:v>cnn_survey-08-zh</x:v>
      </x:c>
      <x:c r="C66" s="2" t="str">
        <x:v>zh-&gt;zh</x:v>
      </x:c>
      <x:c r="D66" s="2" t="str">
        <x:v>cnn_survey</x:v>
      </x:c>
      <x:c r="E66" s="19" t="str">
        <x:v>周飞燕等的CNN综述中，SWWAE的what和where变量分别是什么？</x:v>
      </x:c>
      <x:c r="F66" s="7" t="n">
        <x:v>1</x:v>
      </x:c>
      <x:c r="G66" s="7"/>
      <x:c r="H66" s="7" t="n">
        <x:v>0</x:v>
      </x:c>
      <x:c r="I66" s="20" t="n">
        <x:f>IF(H66&gt;0,1,0)</x:f>
        <x:v>0</x:v>
      </x:c>
      <x:c r="J66" s="8" t="n">
        <x:f>H66/F66</x:f>
        <x:v>0</x:v>
      </x:c>
      <x:c r="K66" s="9" t="n">
        <x:f>IF(G66="",0,1/G66)</x:f>
        <x:v>0</x:v>
      </x:c>
      <x:c r="L66" s="10" t="n">
        <x:v>18.200000002252636</x:v>
      </x:c>
      <x:c r="M66" s="10" t="n">
        <x:v>17.604417000256944</x:v>
      </x:c>
      <x:c r="N66" s="10" t="n">
        <x:v>17.72233299925574</x:v>
      </x:c>
      <x:c r="O66" s="10" t="n">
        <x:f>AVERAGE(L66:N66)</x:f>
        <x:v>17.84225000058844</x:v>
      </x:c>
      <x:c r="P66" s="19" t="str">
        <x:v>59cf668d4f71
f2d7f5316027
f6fa6b8498cb
7806d9463e35
6e11ec046b73</x:v>
      </x:c>
      <x:c r="Q66" s="19" t="str">
        <x:v>cnn_survey.pdf 第9页
vision_survey.pdf 第7页
vit.pdf 第2页
vision_survey.pdf 第4页
cnn_survey.pdf 第7页</x:v>
      </x:c>
    </x:row>
    <x:row r="67" ht="95" customHeight="1">
      <x:c r="A67" s="2" t="str">
        <x:v>纯向量</x:v>
      </x:c>
      <x:c r="B67" s="2" t="str">
        <x:v>cnn_survey-08-en</x:v>
      </x:c>
      <x:c r="C67" s="2" t="str">
        <x:v>en-&gt;zh</x:v>
      </x:c>
      <x:c r="D67" s="2" t="str">
        <x:v>cnn_survey</x:v>
      </x:c>
      <x:c r="E67" s="19" t="str">
        <x:v>In Zhou et al. CNN survey, what do the what and where variables in SWWAE represent?</x:v>
      </x:c>
      <x:c r="F67" s="7" t="n">
        <x:v>1</x:v>
      </x:c>
      <x:c r="G67" s="7"/>
      <x:c r="H67" s="7" t="n">
        <x:v>0</x:v>
      </x:c>
      <x:c r="I67" s="20" t="n">
        <x:f>IF(H67&gt;0,1,0)</x:f>
        <x:v>0</x:v>
      </x:c>
      <x:c r="J67" s="8" t="n">
        <x:f>H67/F67</x:f>
        <x:v>0</x:v>
      </x:c>
      <x:c r="K67" s="9" t="n">
        <x:f>IF(G67="",0,1/G67)</x:f>
        <x:v>0</x:v>
      </x:c>
      <x:c r="L67" s="10" t="n">
        <x:v>18.810416000633268</x:v>
      </x:c>
      <x:c r="M67" s="10" t="n">
        <x:v>18.173417000070913</x:v>
      </x:c>
      <x:c r="N67" s="10" t="n">
        <x:v>18.21958300206461</x:v>
      </x:c>
      <x:c r="O67" s="10" t="n">
        <x:f>AVERAGE(L67:N67)</x:f>
        <x:v>18.401138667589596</x:v>
      </x:c>
      <x:c r="P67" s="19" t="str">
        <x:v>f6fa6b8498cb
ffe0c2d66ad7
a4762fa16ea8
b2c5ca4a2c2d
e71e0ba5e7af</x:v>
      </x:c>
      <x:c r="Q67" s="19" t="str">
        <x:v>vit.pdf 第2页
bert.pdf 第7页
vit.pdf 第8页
vit.pdf 第2页
bert.pdf 第12页</x:v>
      </x:c>
    </x:row>
    <x:row r="68" ht="95" customHeight="1">
      <x:c r="A68" s="2" t="str">
        <x:v>纯向量</x:v>
      </x:c>
      <x:c r="B68" s="2" t="str">
        <x:v>compression-01-zh</x:v>
      </x:c>
      <x:c r="C68" s="2" t="str">
        <x:v>zh-&gt;zh</x:v>
      </x:c>
      <x:c r="D68" s="2" t="str">
        <x:v>compression</x:v>
      </x:c>
      <x:c r="E68" s="19" t="str">
        <x:v>雷杰等的模型压缩综述中，为什么删除Filter等同于删除Feature Map？</x:v>
      </x:c>
      <x:c r="F68" s="7" t="n">
        <x:v>2</x:v>
      </x:c>
      <x:c r="G68" s="7" t="n">
        <x:v>5</x:v>
      </x:c>
      <x:c r="H68" s="7" t="n">
        <x:v>1</x:v>
      </x:c>
      <x:c r="I68" s="20" t="n">
        <x:f>IF(H68&gt;0,1,0)</x:f>
        <x:v>1</x:v>
      </x:c>
      <x:c r="J68" s="8" t="n">
        <x:f>H68/F68</x:f>
        <x:v>0.5</x:v>
      </x:c>
      <x:c r="K68" s="9" t="n">
        <x:f>IF(G68="",0,1/G68)</x:f>
        <x:v>0.2</x:v>
      </x:c>
      <x:c r="L68" s="10" t="n">
        <x:v>17.326041001069825</x:v>
      </x:c>
      <x:c r="M68" s="10" t="n">
        <x:v>17.956666997633874</x:v>
      </x:c>
      <x:c r="N68" s="10" t="n">
        <x:v>17.963000002055196</x:v>
      </x:c>
      <x:c r="O68" s="10" t="n">
        <x:f>AVERAGE(L68:N68)</x:f>
        <x:v>17.7485693335863</x:v>
      </x:c>
      <x:c r="P68" s="19" t="str">
        <x:v>69912204f088
e922d086c1ef
164a68ba9cb5
6b2681105939
5b79a0dea268</x:v>
      </x:c>
      <x:c r="Q68" s="19" t="str">
        <x:v>vit.pdf 第8页
compression.pdf 第15页
bert.pdf 第13页
compression.pdf 第5页
compression.pdf 第5页</x:v>
      </x:c>
    </x:row>
    <x:row r="69" ht="95" customHeight="1">
      <x:c r="A69" s="2" t="str">
        <x:v>纯向量</x:v>
      </x:c>
      <x:c r="B69" s="2" t="str">
        <x:v>compression-01-en</x:v>
      </x:c>
      <x:c r="C69" s="2" t="str">
        <x:v>en-&gt;zh</x:v>
      </x:c>
      <x:c r="D69" s="2" t="str">
        <x:v>compression</x:v>
      </x:c>
      <x:c r="E69" s="19" t="str">
        <x:v>According to Lei et al. model compression survey, why is removing a filter equivalent to removing a feature map?</x:v>
      </x:c>
      <x:c r="F69" s="7" t="n">
        <x:v>2</x:v>
      </x:c>
      <x:c r="G69" s="7"/>
      <x:c r="H69" s="7" t="n">
        <x:v>0</x:v>
      </x:c>
      <x:c r="I69" s="20" t="n">
        <x:f>IF(H69&gt;0,1,0)</x:f>
        <x:v>0</x:v>
      </x:c>
      <x:c r="J69" s="8" t="n">
        <x:f>H69/F69</x:f>
        <x:v>0</x:v>
      </x:c>
      <x:c r="K69" s="9" t="n">
        <x:f>IF(G69="",0,1/G69)</x:f>
        <x:v>0</x:v>
      </x:c>
      <x:c r="L69" s="10" t="n">
        <x:v>21.860832999664126</x:v>
      </x:c>
      <x:c r="M69" s="10" t="n">
        <x:v>21.849000000656815</x:v>
      </x:c>
      <x:c r="N69" s="10" t="n">
        <x:v>21.070291000796715</x:v>
      </x:c>
      <x:c r="O69" s="10" t="n">
        <x:f>AVERAGE(L69:N69)</x:f>
        <x:v>21.593374667039217</x:v>
      </x:c>
      <x:c r="P69" s="19" t="str">
        <x:v>963c8fcf1c8d
402ad760d7eb
09b13419bfca
04d3be3431c4
8bc8b5630560</x:v>
      </x:c>
      <x:c r="Q69" s="19" t="str">
        <x:v>compression.pdf 第1页
bert.pdf 第14页
bert.pdf 第1页
compression.pdf 第15页
bert.pdf 第9页</x:v>
      </x:c>
    </x:row>
    <x:row r="70" ht="95" customHeight="1">
      <x:c r="A70" s="2" t="str">
        <x:v>纯向量</x:v>
      </x:c>
      <x:c r="B70" s="2" t="str">
        <x:v>compression-02-zh</x:v>
      </x:c>
      <x:c r="C70" s="2" t="str">
        <x:v>zh-&gt;zh</x:v>
      </x:c>
      <x:c r="D70" s="2" t="str">
        <x:v>compression</x:v>
      </x:c>
      <x:c r="E70" s="19" t="str">
        <x:v>雷杰等的模型压缩综述中，OBD用哪一阶导数估计权重重要性？</x:v>
      </x:c>
      <x:c r="F70" s="7" t="n">
        <x:v>1</x:v>
      </x:c>
      <x:c r="G70" s="7" t="n">
        <x:v>1</x:v>
      </x:c>
      <x:c r="H70" s="7" t="n">
        <x:v>1</x:v>
      </x:c>
      <x:c r="I70" s="20" t="n">
        <x:f>IF(H70&gt;0,1,0)</x:f>
        <x:v>1</x:v>
      </x:c>
      <x:c r="J70" s="8" t="n">
        <x:f>H70/F70</x:f>
        <x:v>1</x:v>
      </x:c>
      <x:c r="K70" s="9" t="n">
        <x:f>IF(G70="",0,1/G70)</x:f>
        <x:v>1</x:v>
      </x:c>
      <x:c r="L70" s="10" t="n">
        <x:v>19.22158299930743</x:v>
      </x:c>
      <x:c r="M70" s="10" t="n">
        <x:v>17.917208999278955</x:v>
      </x:c>
      <x:c r="N70" s="10" t="n">
        <x:v>18.152333999751136</x:v>
      </x:c>
      <x:c r="O70" s="10" t="n">
        <x:f>AVERAGE(L70:N70)</x:f>
        <x:v>18.430375332779175</x:v>
      </x:c>
      <x:c r="P70" s="19" t="str">
        <x:v>02c45b6c8590
737f9dcaecdd
f831cf138ddc
e922d086c1ef
41ffe96cfb4c</x:v>
      </x:c>
      <x:c r="Q70" s="19" t="str">
        <x:v>compression.pdf 第3页
compression.pdf 第12页
compression.pdf 第1页
compression.pdf 第15页
compression.pdf 第13页</x:v>
      </x:c>
    </x:row>
    <x:row r="71" ht="95" customHeight="1">
      <x:c r="A71" s="2" t="str">
        <x:v>纯向量</x:v>
      </x:c>
      <x:c r="B71" s="2" t="str">
        <x:v>compression-02-en</x:v>
      </x:c>
      <x:c r="C71" s="2" t="str">
        <x:v>en-&gt;zh</x:v>
      </x:c>
      <x:c r="D71" s="2" t="str">
        <x:v>compression</x:v>
      </x:c>
      <x:c r="E71" s="19" t="str">
        <x:v>In Lei et al. model compression survey, which derivative order does OBD use to estimate weight importance?</x:v>
      </x:c>
      <x:c r="F71" s="7" t="n">
        <x:v>1</x:v>
      </x:c>
      <x:c r="G71" s="7"/>
      <x:c r="H71" s="7" t="n">
        <x:v>0</x:v>
      </x:c>
      <x:c r="I71" s="20" t="n">
        <x:f>IF(H71&gt;0,1,0)</x:f>
        <x:v>0</x:v>
      </x:c>
      <x:c r="J71" s="8" t="n">
        <x:f>H71/F71</x:f>
        <x:v>0</x:v>
      </x:c>
      <x:c r="K71" s="9" t="n">
        <x:f>IF(G71="",0,1/G71)</x:f>
        <x:v>0</x:v>
      </x:c>
      <x:c r="L71" s="10" t="n">
        <x:v>21.72808400064241</x:v>
      </x:c>
      <x:c r="M71" s="10" t="n">
        <x:v>21.432790999824647</x:v>
      </x:c>
      <x:c r="N71" s="10" t="n">
        <x:v>21.521540998946875</x:v>
      </x:c>
      <x:c r="O71" s="10" t="n">
        <x:f>AVERAGE(L71:N71)</x:f>
        <x:v>21.560805333137978</x:v>
      </x:c>
      <x:c r="P71" s="19" t="str">
        <x:v>b67093746da1
b0e3ac9390a7
9f60425b6e94
35cf30cef3f1
963c8fcf1c8d</x:v>
      </x:c>
      <x:c r="Q71" s="19" t="str">
        <x:v>compression.pdf 第15页
compression.pdf 第16页
attention.pdf 第9页
vit.pdf 第5页
compression.pdf 第1页</x:v>
      </x:c>
    </x:row>
    <x:row r="72" ht="95" customHeight="1">
      <x:c r="A72" s="2" t="str">
        <x:v>纯向量</x:v>
      </x:c>
      <x:c r="B72" s="2" t="str">
        <x:v>compression-03-zh</x:v>
      </x:c>
      <x:c r="C72" s="2" t="str">
        <x:v>zh-&gt;zh</x:v>
      </x:c>
      <x:c r="D72" s="2" t="str">
        <x:v>compression</x:v>
      </x:c>
      <x:c r="E72" s="19" t="str">
        <x:v>雷杰等的模型压缩综述中，非结构化剪枝为什么难以直接并行加速？</x:v>
      </x:c>
      <x:c r="F72" s="7" t="n">
        <x:v>1</x:v>
      </x:c>
      <x:c r="G72" s="7" t="n">
        <x:v>4</x:v>
      </x:c>
      <x:c r="H72" s="7" t="n">
        <x:v>1</x:v>
      </x:c>
      <x:c r="I72" s="20" t="n">
        <x:f>IF(H72&gt;0,1,0)</x:f>
        <x:v>1</x:v>
      </x:c>
      <x:c r="J72" s="8" t="n">
        <x:f>H72/F72</x:f>
        <x:v>1</x:v>
      </x:c>
      <x:c r="K72" s="9" t="n">
        <x:f>IF(G72="",0,1/G72)</x:f>
        <x:v>0.25</x:v>
      </x:c>
      <x:c r="L72" s="10" t="n">
        <x:v>17.188875001011183</x:v>
      </x:c>
      <x:c r="M72" s="10" t="n">
        <x:v>17.94454199989559</x:v>
      </x:c>
      <x:c r="N72" s="10" t="n">
        <x:v>19.381291000172496</x:v>
      </x:c>
      <x:c r="O72" s="10" t="n">
        <x:f>AVERAGE(L72:N72)</x:f>
        <x:v>18.17156933369309</x:v>
      </x:c>
      <x:c r="P72" s="19" t="str">
        <x:v>737f9dcaecdd
02c45b6c8590
e922d086c1ef
fc294e7efc80
f19604bc400c</x:v>
      </x:c>
      <x:c r="Q72" s="19" t="str">
        <x:v>compression.pdf 第12页
compression.pdf 第3页
compression.pdf 第15页
compression.pdf 第4页
compression.pdf 第3页</x:v>
      </x:c>
    </x:row>
    <x:row r="73" ht="95" customHeight="1">
      <x:c r="A73" s="2" t="str">
        <x:v>纯向量</x:v>
      </x:c>
      <x:c r="B73" s="2" t="str">
        <x:v>compression-03-en</x:v>
      </x:c>
      <x:c r="C73" s="2" t="str">
        <x:v>en-&gt;zh</x:v>
      </x:c>
      <x:c r="D73" s="2" t="str">
        <x:v>compression</x:v>
      </x:c>
      <x:c r="E73" s="19" t="str">
        <x:v>Why is unstructured pruning difficult to accelerate in parallel according to Lei et al. model compression survey?</x:v>
      </x:c>
      <x:c r="F73" s="7" t="n">
        <x:v>1</x:v>
      </x:c>
      <x:c r="G73" s="7"/>
      <x:c r="H73" s="7" t="n">
        <x:v>0</x:v>
      </x:c>
      <x:c r="I73" s="20" t="n">
        <x:f>IF(H73&gt;0,1,0)</x:f>
        <x:v>0</x:v>
      </x:c>
      <x:c r="J73" s="8" t="n">
        <x:f>H73/F73</x:f>
        <x:v>0</x:v>
      </x:c>
      <x:c r="K73" s="9" t="n">
        <x:f>IF(G73="",0,1/G73)</x:f>
        <x:v>0</x:v>
      </x:c>
      <x:c r="L73" s="10" t="n">
        <x:v>22.115167001174996</x:v>
      </x:c>
      <x:c r="M73" s="10" t="n">
        <x:v>21.799833000841318</x:v>
      </x:c>
      <x:c r="N73" s="10" t="n">
        <x:v>21.545542000239948</x:v>
      </x:c>
      <x:c r="O73" s="10" t="n">
        <x:f>AVERAGE(L73:N73)</x:f>
        <x:v>21.820180667418754</x:v>
      </x:c>
      <x:c r="P73" s="19" t="str">
        <x:v>04d3be3431c4
b67093746da1
19d0b670dc56
963c8fcf1c8d
402ad760d7eb</x:v>
      </x:c>
      <x:c r="Q73" s="19" t="str">
        <x:v>compression.pdf 第15页
compression.pdf 第15页
bert.pdf 第5页
compression.pdf 第1页
bert.pdf 第14页</x:v>
      </x:c>
    </x:row>
    <x:row r="74" ht="95" customHeight="1">
      <x:c r="A74" s="2" t="str">
        <x:v>纯向量</x:v>
      </x:c>
      <x:c r="B74" s="2" t="str">
        <x:v>compression-04-zh</x:v>
      </x:c>
      <x:c r="C74" s="2" t="str">
        <x:v>zh-&gt;zh</x:v>
      </x:c>
      <x:c r="D74" s="2" t="str">
        <x:v>compression</x:v>
      </x:c>
      <x:c r="E74" s="19" t="str">
        <x:v>雷杰等的模型压缩综述中，通道与卷积核粗粒度剪枝有什么部署优势？</x:v>
      </x:c>
      <x:c r="F74" s="7" t="n">
        <x:v>1</x:v>
      </x:c>
      <x:c r="G74" s="7" t="n">
        <x:v>1</x:v>
      </x:c>
      <x:c r="H74" s="7" t="n">
        <x:v>1</x:v>
      </x:c>
      <x:c r="I74" s="20" t="n">
        <x:f>IF(H74&gt;0,1,0)</x:f>
        <x:v>1</x:v>
      </x:c>
      <x:c r="J74" s="8" t="n">
        <x:f>H74/F74</x:f>
        <x:v>1</x:v>
      </x:c>
      <x:c r="K74" s="9" t="n">
        <x:f>IF(G74="",0,1/G74)</x:f>
        <x:v>1</x:v>
      </x:c>
      <x:c r="L74" s="10" t="n">
        <x:v>22.16170799874817</x:v>
      </x:c>
      <x:c r="M74" s="10" t="n">
        <x:v>21.855415998288663</x:v>
      </x:c>
      <x:c r="N74" s="10" t="n">
        <x:v>21.672167000360787</x:v>
      </x:c>
      <x:c r="O74" s="10" t="n">
        <x:f>AVERAGE(L74:N74)</x:f>
        <x:v>21.896430332465872</x:v>
      </x:c>
      <x:c r="P74" s="19" t="str">
        <x:v>5b79a0dea268
02c45b6c8590
41ffe96cfb4c
cfdd95b2d8a0
e922d086c1ef</x:v>
      </x:c>
      <x:c r="Q74" s="19" t="str">
        <x:v>compression.pdf 第5页
compression.pdf 第3页
compression.pdf 第13页
compression.pdf 第13页
compression.pdf 第15页</x:v>
      </x:c>
    </x:row>
    <x:row r="75" ht="95" customHeight="1">
      <x:c r="A75" s="2" t="str">
        <x:v>纯向量</x:v>
      </x:c>
      <x:c r="B75" s="2" t="str">
        <x:v>compression-04-en</x:v>
      </x:c>
      <x:c r="C75" s="2" t="str">
        <x:v>en-&gt;zh</x:v>
      </x:c>
      <x:c r="D75" s="2" t="str">
        <x:v>compression</x:v>
      </x:c>
      <x:c r="E75" s="19" t="str">
        <x:v>What deployment advantage does coarse-grained channel and kernel pruning offer in Lei et al. model compression survey?</x:v>
      </x:c>
      <x:c r="F75" s="7" t="n">
        <x:v>1</x:v>
      </x:c>
      <x:c r="G75" s="7"/>
      <x:c r="H75" s="7" t="n">
        <x:v>0</x:v>
      </x:c>
      <x:c r="I75" s="20" t="n">
        <x:f>IF(H75&gt;0,1,0)</x:f>
        <x:v>0</x:v>
      </x:c>
      <x:c r="J75" s="8" t="n">
        <x:f>H75/F75</x:f>
        <x:v>0</x:v>
      </x:c>
      <x:c r="K75" s="9" t="n">
        <x:f>IF(G75="",0,1/G75)</x:f>
        <x:v>0</x:v>
      </x:c>
      <x:c r="L75" s="10" t="n">
        <x:v>22.10358400043333</x:v>
      </x:c>
      <x:c r="M75" s="10" t="n">
        <x:v>21.414916998764966</x:v>
      </x:c>
      <x:c r="N75" s="10" t="n">
        <x:v>21.550083001784515</x:v>
      </x:c>
      <x:c r="O75" s="10" t="n">
        <x:f>AVERAGE(L75:N75)</x:f>
        <x:v>21.689528000327602</x:v>
      </x:c>
      <x:c r="P75" s="19" t="str">
        <x:v>2503bfe50ce3
402ad760d7eb
963c8fcf1c8d
b67093746da1
59af7fb23b17</x:v>
      </x:c>
      <x:c r="Q75" s="19" t="str">
        <x:v>compression.pdf 第1页
bert.pdf 第14页
compression.pdf 第1页
compression.pdf 第15页
bert.pdf 第3页</x:v>
      </x:c>
    </x:row>
    <x:row r="76" ht="95" customHeight="1">
      <x:c r="A76" s="2" t="str">
        <x:v>纯向量</x:v>
      </x:c>
      <x:c r="B76" s="2" t="str">
        <x:v>compression-05-zh</x:v>
      </x:c>
      <x:c r="C76" s="2" t="str">
        <x:v>zh-&gt;zh</x:v>
      </x:c>
      <x:c r="D76" s="2" t="str">
        <x:v>compression</x:v>
      </x:c>
      <x:c r="E76" s="19" t="str">
        <x:v>雷杰等的模型压缩综述怎样用教师模型指导学生模型？</x:v>
      </x:c>
      <x:c r="F76" s="7" t="n">
        <x:v>2</x:v>
      </x:c>
      <x:c r="G76" s="7"/>
      <x:c r="H76" s="7" t="n">
        <x:v>0</x:v>
      </x:c>
      <x:c r="I76" s="20" t="n">
        <x:f>IF(H76&gt;0,1,0)</x:f>
        <x:v>0</x:v>
      </x:c>
      <x:c r="J76" s="8" t="n">
        <x:f>H76/F76</x:f>
        <x:v>0</x:v>
      </x:c>
      <x:c r="K76" s="9" t="n">
        <x:f>IF(G76="",0,1/G76)</x:f>
        <x:v>0</x:v>
      </x:c>
      <x:c r="L76" s="10" t="n">
        <x:v>17.92145800209255</x:v>
      </x:c>
      <x:c r="M76" s="10" t="n">
        <x:v>17.78133400148363</x:v>
      </x:c>
      <x:c r="N76" s="10" t="n">
        <x:v>17.384415998094482</x:v>
      </x:c>
      <x:c r="O76" s="10" t="n">
        <x:f>AVERAGE(L76:N76)</x:f>
        <x:v>17.695736000556888</x:v>
      </x:c>
      <x:c r="P76" s="19" t="str">
        <x:v>24205e65477f
91a31a82d1cc
185b4a6d6dc1
64c53c006c94
b7d1bec87aa1</x:v>
      </x:c>
      <x:c r="Q76" s="19" t="str">
        <x:v>compression.pdf 第6页
compression.pdf 第7页
compression.pdf 第7页
compression.pdf 第8页
compression.pdf 第6页</x:v>
      </x:c>
    </x:row>
    <x:row r="77" ht="95" customHeight="1">
      <x:c r="A77" s="2" t="str">
        <x:v>纯向量</x:v>
      </x:c>
      <x:c r="B77" s="2" t="str">
        <x:v>compression-05-en</x:v>
      </x:c>
      <x:c r="C77" s="2" t="str">
        <x:v>en-&gt;zh</x:v>
      </x:c>
      <x:c r="D77" s="2" t="str">
        <x:v>compression</x:v>
      </x:c>
      <x:c r="E77" s="19" t="str">
        <x:v>How does Lei et al. model compression survey describe a teacher model guiding a student model?</x:v>
      </x:c>
      <x:c r="F77" s="7" t="n">
        <x:v>2</x:v>
      </x:c>
      <x:c r="G77" s="7"/>
      <x:c r="H77" s="7" t="n">
        <x:v>0</x:v>
      </x:c>
      <x:c r="I77" s="20" t="n">
        <x:f>IF(H77&gt;0,1,0)</x:f>
        <x:v>0</x:v>
      </x:c>
      <x:c r="J77" s="8" t="n">
        <x:f>H77/F77</x:f>
        <x:v>0</x:v>
      </x:c>
      <x:c r="K77" s="9" t="n">
        <x:f>IF(G77="",0,1/G77)</x:f>
        <x:v>0</x:v>
      </x:c>
      <x:c r="L77" s="10" t="n">
        <x:v>17.380375000357162</x:v>
      </x:c>
      <x:c r="M77" s="10" t="n">
        <x:v>18.932874998426996</x:v>
      </x:c>
      <x:c r="N77" s="10" t="n">
        <x:v>17.60295900021447</x:v>
      </x:c>
      <x:c r="O77" s="10" t="n">
        <x:f>AVERAGE(L77:N77)</x:f>
        <x:v>17.972069666332875</x:v>
      </x:c>
      <x:c r="P77" s="19" t="str">
        <x:v>963c8fcf1c8d
24205e65477f
185b4a6d6dc1
b67093746da1
21cc2a3cf98a</x:v>
      </x:c>
      <x:c r="Q77" s="19" t="str">
        <x:v>compression.pdf 第1页
compression.pdf 第6页
compression.pdf 第7页
compression.pdf 第15页
vision_survey.pdf 第19页</x:v>
      </x:c>
    </x:row>
    <x:row r="78" ht="95" customHeight="1">
      <x:c r="A78" s="2" t="str">
        <x:v>纯向量</x:v>
      </x:c>
      <x:c r="B78" s="2" t="str">
        <x:v>compression-06-zh</x:v>
      </x:c>
      <x:c r="C78" s="2" t="str">
        <x:v>zh-&gt;zh</x:v>
      </x:c>
      <x:c r="D78" s="2" t="str">
        <x:v>compression</x:v>
      </x:c>
      <x:c r="E78" s="19" t="str">
        <x:v>雷杰等的模型压缩综述中，FitNet如何处理教师与学生中间层维度不同？</x:v>
      </x:c>
      <x:c r="F78" s="7" t="n">
        <x:v>1</x:v>
      </x:c>
      <x:c r="G78" s="7" t="n">
        <x:v>3</x:v>
      </x:c>
      <x:c r="H78" s="7" t="n">
        <x:v>1</x:v>
      </x:c>
      <x:c r="I78" s="20" t="n">
        <x:f>IF(H78&gt;0,1,0)</x:f>
        <x:v>1</x:v>
      </x:c>
      <x:c r="J78" s="8" t="n">
        <x:f>H78/F78</x:f>
        <x:v>1</x:v>
      </x:c>
      <x:c r="K78" s="9" t="n">
        <x:f>IF(G78="",0,1/G78)</x:f>
        <x:v>0.3333333333333333</x:v>
      </x:c>
      <x:c r="L78" s="10" t="n">
        <x:v>21.70391699837637</x:v>
      </x:c>
      <x:c r="M78" s="10" t="n">
        <x:v>21.84720800141804</x:v>
      </x:c>
      <x:c r="N78" s="10" t="n">
        <x:v>22.374958000000333</x:v>
      </x:c>
      <x:c r="O78" s="10" t="n">
        <x:f>AVERAGE(L78:N78)</x:f>
        <x:v>21.97536099993158</x:v>
      </x:c>
      <x:c r="P78" s="19" t="str">
        <x:v>91a31a82d1cc
185b4a6d6dc1
992536c010bc
24205e65477f
64c53c006c94</x:v>
      </x:c>
      <x:c r="Q78" s="19" t="str">
        <x:v>compression.pdf 第7页
compression.pdf 第7页
compression.pdf 第7页
compression.pdf 第6页
compression.pdf 第8页</x:v>
      </x:c>
    </x:row>
    <x:row r="79" ht="95" customHeight="1">
      <x:c r="A79" s="2" t="str">
        <x:v>纯向量</x:v>
      </x:c>
      <x:c r="B79" s="2" t="str">
        <x:v>compression-06-en</x:v>
      </x:c>
      <x:c r="C79" s="2" t="str">
        <x:v>en-&gt;zh</x:v>
      </x:c>
      <x:c r="D79" s="2" t="str">
        <x:v>compression</x:v>
      </x:c>
      <x:c r="E79" s="19" t="str">
        <x:v>How does FitNet handle different teacher and student intermediate dimensions in Lei et al. model compression survey?</x:v>
      </x:c>
      <x:c r="F79" s="7" t="n">
        <x:v>1</x:v>
      </x:c>
      <x:c r="G79" s="7" t="n">
        <x:v>1</x:v>
      </x:c>
      <x:c r="H79" s="7" t="n">
        <x:v>1</x:v>
      </x:c>
      <x:c r="I79" s="20" t="n">
        <x:f>IF(H79&gt;0,1,0)</x:f>
        <x:v>1</x:v>
      </x:c>
      <x:c r="J79" s="8" t="n">
        <x:f>H79/F79</x:f>
        <x:v>1</x:v>
      </x:c>
      <x:c r="K79" s="9" t="n">
        <x:f>IF(G79="",0,1/G79)</x:f>
        <x:v>1</x:v>
      </x:c>
      <x:c r="L79" s="10" t="n">
        <x:v>21.92362499772571</x:v>
      </x:c>
      <x:c r="M79" s="10" t="n">
        <x:v>21.817708999151364</x:v>
      </x:c>
      <x:c r="N79" s="10" t="n">
        <x:v>22.690374997182516</x:v>
      </x:c>
      <x:c r="O79" s="10" t="n">
        <x:f>AVERAGE(L79:N79)</x:f>
        <x:v>22.143902998019865</x:v>
      </x:c>
      <x:c r="P79" s="19" t="str">
        <x:v>992536c010bc
185b4a6d6dc1
91a31a82d1cc
6d5ad303ca39
b67093746da1</x:v>
      </x:c>
      <x:c r="Q79" s="19" t="str">
        <x:v>compression.pdf 第7页
compression.pdf 第7页
compression.pdf 第7页
compression.pdf 第14页
compression.pdf 第15页</x:v>
      </x:c>
    </x:row>
    <x:row r="80" ht="95" customHeight="1">
      <x:c r="A80" s="2" t="str">
        <x:v>纯向量</x:v>
      </x:c>
      <x:c r="B80" s="2" t="str">
        <x:v>compression-07-zh</x:v>
      </x:c>
      <x:c r="C80" s="2" t="str">
        <x:v>zh-&gt;zh</x:v>
      </x:c>
      <x:c r="D80" s="2" t="str">
        <x:v>compression</x:v>
      </x:c>
      <x:c r="E80" s="19" t="str">
        <x:v>雷杰等的模型压缩综述将哪种矩阵分解推广到卷积核低秩表示？</x:v>
      </x:c>
      <x:c r="F80" s="7" t="n">
        <x:v>1</x:v>
      </x:c>
      <x:c r="G80" s="7" t="n">
        <x:v>5</x:v>
      </x:c>
      <x:c r="H80" s="7" t="n">
        <x:v>1</x:v>
      </x:c>
      <x:c r="I80" s="20" t="n">
        <x:f>IF(H80&gt;0,1,0)</x:f>
        <x:v>1</x:v>
      </x:c>
      <x:c r="J80" s="8" t="n">
        <x:f>H80/F80</x:f>
        <x:v>1</x:v>
      </x:c>
      <x:c r="K80" s="9" t="n">
        <x:f>IF(G80="",0,1/G80)</x:f>
        <x:v>0.2</x:v>
      </x:c>
      <x:c r="L80" s="10" t="n">
        <x:v>34.05812499840977</x:v>
      </x:c>
      <x:c r="M80" s="10" t="n">
        <x:v>18.260208002175204</x:v>
      </x:c>
      <x:c r="N80" s="10" t="n">
        <x:v>17.920792000950314</x:v>
      </x:c>
      <x:c r="O80" s="10" t="n">
        <x:f>AVERAGE(L80:N80)</x:f>
        <x:v>23.41304166717843</x:v>
      </x:c>
      <x:c r="P80" s="19" t="str">
        <x:v>ff40e38329b9
41ffe96cfb4c
5b79a0dea268
eb1d3a2e228a
1e4f7f7596ce</x:v>
      </x:c>
      <x:c r="Q80" s="19" t="str">
        <x:v>compression.pdf 第9页
compression.pdf 第13页
compression.pdf 第5页
compression.pdf 第8页
compression.pdf 第8页</x:v>
      </x:c>
    </x:row>
    <x:row r="81" ht="95" customHeight="1">
      <x:c r="A81" s="2" t="str">
        <x:v>纯向量</x:v>
      </x:c>
      <x:c r="B81" s="2" t="str">
        <x:v>compression-07-en</x:v>
      </x:c>
      <x:c r="C81" s="2" t="str">
        <x:v>en-&gt;zh</x:v>
      </x:c>
      <x:c r="D81" s="2" t="str">
        <x:v>compression</x:v>
      </x:c>
      <x:c r="E81" s="19" t="str">
        <x:v>Which matrix decomposition is extended to low-rank convolution kernels in Lei et al. model compression survey?</x:v>
      </x:c>
      <x:c r="F81" s="7" t="n">
        <x:v>1</x:v>
      </x:c>
      <x:c r="G81" s="7"/>
      <x:c r="H81" s="7" t="n">
        <x:v>0</x:v>
      </x:c>
      <x:c r="I81" s="20" t="n">
        <x:f>IF(H81&gt;0,1,0)</x:f>
        <x:v>0</x:v>
      </x:c>
      <x:c r="J81" s="8" t="n">
        <x:f>H81/F81</x:f>
        <x:v>0</x:v>
      </x:c>
      <x:c r="K81" s="9" t="n">
        <x:f>IF(G81="",0,1/G81)</x:f>
        <x:v>0</x:v>
      </x:c>
      <x:c r="L81" s="10" t="n">
        <x:v>22.02604099875316</x:v>
      </x:c>
      <x:c r="M81" s="10" t="n">
        <x:v>21.22929200049839</x:v>
      </x:c>
      <x:c r="N81" s="10" t="n">
        <x:v>22.039417002815753</x:v>
      </x:c>
      <x:c r="O81" s="10" t="n">
        <x:f>AVERAGE(L81:N81)</x:f>
        <x:v>21.764916667355767</x:v>
      </x:c>
      <x:c r="P81" s="19" t="str">
        <x:v>cef9b40f06dd
a14727952238
b0e3ac9390a7
4972f4caf603
c2d856b5bd28</x:v>
      </x:c>
      <x:c r="Q81" s="19" t="str">
        <x:v>vision_survey.pdf 第20页
vision_survey.pdf 第21页
compression.pdf 第16页
compression.pdf 第16页
attention.pdf 第6页</x:v>
      </x:c>
    </x:row>
    <x:row r="82" ht="95" customHeight="1">
      <x:c r="A82" s="2" t="str">
        <x:v>纯向量</x:v>
      </x:c>
      <x:c r="B82" s="2" t="str">
        <x:v>compression-08-zh</x:v>
      </x:c>
      <x:c r="C82" s="2" t="str">
        <x:v>zh-&gt;zh</x:v>
      </x:c>
      <x:c r="D82" s="2" t="str">
        <x:v>compression</x:v>
      </x:c>
      <x:c r="E82" s="19" t="str">
        <x:v>雷杰等的模型压缩综述中，二值权重有哪些取值，SGD更新是否也二值化？</x:v>
      </x:c>
      <x:c r="F82" s="7" t="n">
        <x:v>1</x:v>
      </x:c>
      <x:c r="G82" s="7" t="n">
        <x:v>1</x:v>
      </x:c>
      <x:c r="H82" s="7" t="n">
        <x:v>1</x:v>
      </x:c>
      <x:c r="I82" s="20" t="n">
        <x:f>IF(H82&gt;0,1,0)</x:f>
        <x:v>1</x:v>
      </x:c>
      <x:c r="J82" s="8" t="n">
        <x:f>H82/F82</x:f>
        <x:v>1</x:v>
      </x:c>
      <x:c r="K82" s="9" t="n">
        <x:f>IF(G82="",0,1/G82)</x:f>
        <x:v>1</x:v>
      </x:c>
      <x:c r="L82" s="10" t="n">
        <x:v>21.846542000275804</x:v>
      </x:c>
      <x:c r="M82" s="10" t="n">
        <x:v>21.733459001552546</x:v>
      </x:c>
      <x:c r="N82" s="10" t="n">
        <x:v>21.007833998737624</x:v>
      </x:c>
      <x:c r="O82" s="10" t="n">
        <x:f>AVERAGE(L82:N82)</x:f>
        <x:v>21.52927833352199</x:v>
      </x:c>
      <x:c r="P82" s="19" t="str">
        <x:v>5ef634b107cb
e922d086c1ef
f831cf138ddc
737f9dcaecdd
02c45b6c8590</x:v>
      </x:c>
      <x:c r="Q82" s="19" t="str">
        <x:v>compression.pdf 第10页
compression.pdf 第15页
compression.pdf 第1页
compression.pdf 第12页
compression.pdf 第3页</x:v>
      </x:c>
    </x:row>
    <x:row r="83" ht="95" customHeight="1">
      <x:c r="A83" s="2" t="str">
        <x:v>纯向量</x:v>
      </x:c>
      <x:c r="B83" s="2" t="str">
        <x:v>compression-08-en</x:v>
      </x:c>
      <x:c r="C83" s="2" t="str">
        <x:v>en-&gt;zh</x:v>
      </x:c>
      <x:c r="D83" s="2" t="str">
        <x:v>compression</x:v>
      </x:c>
      <x:c r="E83" s="19" t="str">
        <x:v>In Lei et al. model compression survey, what values do binary weights take, and are SGD updates also binarized?</x:v>
      </x:c>
      <x:c r="F83" s="7" t="n">
        <x:v>1</x:v>
      </x:c>
      <x:c r="G83" s="7"/>
      <x:c r="H83" s="7" t="n">
        <x:v>0</x:v>
      </x:c>
      <x:c r="I83" s="20" t="n">
        <x:f>IF(H83&gt;0,1,0)</x:f>
        <x:v>0</x:v>
      </x:c>
      <x:c r="J83" s="8" t="n">
        <x:f>H83/F83</x:f>
        <x:v>0</x:v>
      </x:c>
      <x:c r="K83" s="9" t="n">
        <x:f>IF(G83="",0,1/G83)</x:f>
        <x:v>0</x:v>
      </x:c>
      <x:c r="L83" s="10" t="n">
        <x:v>21.523708001041086</x:v>
      </x:c>
      <x:c r="M83" s="10" t="n">
        <x:v>21.796500001073582</x:v>
      </x:c>
      <x:c r="N83" s="10" t="n">
        <x:v>21.187124999414664</x:v>
      </x:c>
      <x:c r="O83" s="10" t="n">
        <x:f>AVERAGE(L83:N83)</x:f>
        <x:v>21.502444333843112</x:v>
      </x:c>
      <x:c r="P83" s="19" t="str">
        <x:v>b0e3ac9390a7
b67093746da1
963c8fcf1c8d
35cf30cef3f1
cd54e6e82c20</x:v>
      </x:c>
      <x:c r="Q83" s="19" t="str">
        <x:v>compression.pdf 第16页
compression.pdf 第15页
compression.pdf 第1页
vit.pdf 第5页
vit.pdf 第15页</x:v>
      </x:c>
    </x:row>
    <x:row r="84" ht="95" customHeight="1">
      <x:c r="A84" s="2" t="str">
        <x:v>纯向量</x:v>
      </x:c>
      <x:c r="B84" s="2" t="str">
        <x:v>vision_survey-01-zh</x:v>
      </x:c>
      <x:c r="C84" s="2" t="str">
        <x:v>zh-&gt;zh</x:v>
      </x:c>
      <x:c r="D84" s="2" t="str">
        <x:v>vision_survey</x:v>
      </x:c>
      <x:c r="E84" s="19" t="str">
        <x:v>田永林等的视觉Transformer综述中，Transformer和CNN怎样扩展感受野？</x:v>
      </x:c>
      <x:c r="F84" s="7" t="n">
        <x:v>1</x:v>
      </x:c>
      <x:c r="G84" s="7"/>
      <x:c r="H84" s="7" t="n">
        <x:v>0</x:v>
      </x:c>
      <x:c r="I84" s="20" t="n">
        <x:f>IF(H84&gt;0,1,0)</x:f>
        <x:v>0</x:v>
      </x:c>
      <x:c r="J84" s="8" t="n">
        <x:f>H84/F84</x:f>
        <x:v>0</x:v>
      </x:c>
      <x:c r="K84" s="9" t="n">
        <x:f>IF(G84="",0,1/G84)</x:f>
        <x:v>0</x:v>
      </x:c>
      <x:c r="L84" s="10" t="n">
        <x:v>21.208957998169353</x:v>
      </x:c>
      <x:c r="M84" s="10" t="n">
        <x:v>20.930250000674278</x:v>
      </x:c>
      <x:c r="N84" s="10" t="n">
        <x:v>21.87899999989895</x:v>
      </x:c>
      <x:c r="O84" s="10" t="n">
        <x:f>AVERAGE(L84:N84)</x:f>
        <x:v>21.339402666247526</x:v>
      </x:c>
      <x:c r="P84" s="19" t="str">
        <x:v>7806d9463e35
b5dad46f8fd0
430cc231bdbc
b52508095ab7
708d54a64688</x:v>
      </x:c>
      <x:c r="Q84" s="19" t="str">
        <x:v>vision_survey.pdf 第4页
vision_survey.pdf 第5页
vit.pdf 第1页
vision_survey.pdf 第21页
vision_survey.pdf 第19页</x:v>
      </x:c>
    </x:row>
    <x:row r="85" ht="95" customHeight="1">
      <x:c r="A85" s="2" t="str">
        <x:v>纯向量</x:v>
      </x:c>
      <x:c r="B85" s="2" t="str">
        <x:v>vision_survey-01-en</x:v>
      </x:c>
      <x:c r="C85" s="2" t="str">
        <x:v>en-&gt;zh</x:v>
      </x:c>
      <x:c r="D85" s="2" t="str">
        <x:v>vision_survey</x:v>
      </x:c>
      <x:c r="E85" s="19" t="str">
        <x:v>According to Tian et al. vision Transformer survey, how do Transformers and CNNs expand their receptive fields?</x:v>
      </x:c>
      <x:c r="F85" s="7" t="n">
        <x:v>1</x:v>
      </x:c>
      <x:c r="G85" s="7"/>
      <x:c r="H85" s="7" t="n">
        <x:v>0</x:v>
      </x:c>
      <x:c r="I85" s="20" t="n">
        <x:f>IF(H85&gt;0,1,0)</x:f>
        <x:v>0</x:v>
      </x:c>
      <x:c r="J85" s="8" t="n">
        <x:f>H85/F85</x:f>
        <x:v>0</x:v>
      </x:c>
      <x:c r="K85" s="9" t="n">
        <x:f>IF(G85="",0,1/G85)</x:f>
        <x:v>0</x:v>
      </x:c>
      <x:c r="L85" s="10" t="n">
        <x:v>21.87058300114586</x:v>
      </x:c>
      <x:c r="M85" s="10" t="n">
        <x:v>21.914665998338023</x:v>
      </x:c>
      <x:c r="N85" s="10" t="n">
        <x:v>22.82766699863714</x:v>
      </x:c>
      <x:c r="O85" s="10" t="n">
        <x:f>AVERAGE(L85:N85)</x:f>
        <x:v>22.20430533270701</x:v>
      </x:c>
      <x:c r="P85" s="19" t="str">
        <x:v>f6fa6b8498cb
9d4afa97b483
b2c5ca4a2c2d
a297840b67f6
83d1199a7c8e</x:v>
      </x:c>
      <x:c r="Q85" s="19" t="str">
        <x:v>vit.pdf 第2页
vision_survey.pdf 第20页
vit.pdf 第2页
vision_survey.pdf 第20页
vision_survey.pdf 第19页</x:v>
      </x:c>
    </x:row>
    <x:row r="86" ht="95" customHeight="1">
      <x:c r="A86" s="2" t="str">
        <x:v>纯向量</x:v>
      </x:c>
      <x:c r="B86" s="2" t="str">
        <x:v>vision_survey-02-zh</x:v>
      </x:c>
      <x:c r="C86" s="2" t="str">
        <x:v>zh-&gt;zh</x:v>
      </x:c>
      <x:c r="D86" s="2" t="str">
        <x:v>vision_survey</x:v>
      </x:c>
      <x:c r="E86" s="19" t="str">
        <x:v>田永林等的视觉Transformer综述中，注意力权重与卷积权重的动态性有什么差异？</x:v>
      </x:c>
      <x:c r="F86" s="7" t="n">
        <x:v>1</x:v>
      </x:c>
      <x:c r="G86" s="7" t="n">
        <x:v>1</x:v>
      </x:c>
      <x:c r="H86" s="7" t="n">
        <x:v>1</x:v>
      </x:c>
      <x:c r="I86" s="20" t="n">
        <x:f>IF(H86&gt;0,1,0)</x:f>
        <x:v>1</x:v>
      </x:c>
      <x:c r="J86" s="8" t="n">
        <x:f>H86/F86</x:f>
        <x:v>1</x:v>
      </x:c>
      <x:c r="K86" s="9" t="n">
        <x:f>IF(G86="",0,1/G86)</x:f>
        <x:v>1</x:v>
      </x:c>
      <x:c r="L86" s="10" t="n">
        <x:v>20.625083001505118</x:v>
      </x:c>
      <x:c r="M86" s="10" t="n">
        <x:v>21.05304100041394</x:v>
      </x:c>
      <x:c r="N86" s="10" t="n">
        <x:v>21.29120899917325</x:v>
      </x:c>
      <x:c r="O86" s="10" t="n">
        <x:f>AVERAGE(L86:N86)</x:f>
        <x:v>20.98977766703077</x:v>
      </x:c>
      <x:c r="P86" s="19" t="str">
        <x:v>7806d9463e35
f2d7f5316027
f5383d7d4ecb
df5f4497c074
48fde759608a</x:v>
      </x:c>
      <x:c r="Q86" s="19" t="str">
        <x:v>vision_survey.pdf 第4页
vision_survey.pdf 第7页
vision_survey.pdf 第5页
vision_survey.pdf 第4页
vision_survey.pdf 第1页</x:v>
      </x:c>
    </x:row>
    <x:row r="87" ht="95" customHeight="1">
      <x:c r="A87" s="2" t="str">
        <x:v>纯向量</x:v>
      </x:c>
      <x:c r="B87" s="2" t="str">
        <x:v>vision_survey-02-en</x:v>
      </x:c>
      <x:c r="C87" s="2" t="str">
        <x:v>en-&gt;zh</x:v>
      </x:c>
      <x:c r="D87" s="2" t="str">
        <x:v>vision_survey</x:v>
      </x:c>
      <x:c r="E87" s="19" t="str">
        <x:v>How does weight dynamicity differ between attention and convolution in Tian et al. vision Transformer survey?</x:v>
      </x:c>
      <x:c r="F87" s="7" t="n">
        <x:v>1</x:v>
      </x:c>
      <x:c r="G87" s="7"/>
      <x:c r="H87" s="7" t="n">
        <x:v>0</x:v>
      </x:c>
      <x:c r="I87" s="20" t="n">
        <x:f>IF(H87&gt;0,1,0)</x:f>
        <x:v>0</x:v>
      </x:c>
      <x:c r="J87" s="8" t="n">
        <x:f>H87/F87</x:f>
        <x:v>0</x:v>
      </x:c>
      <x:c r="K87" s="9" t="n">
        <x:f>IF(G87="",0,1/G87)</x:f>
        <x:v>0</x:v>
      </x:c>
      <x:c r="L87" s="10" t="n">
        <x:v>20.731999997224193</x:v>
      </x:c>
      <x:c r="M87" s="10" t="n">
        <x:v>21.30866699735634</x:v>
      </x:c>
      <x:c r="N87" s="10" t="n">
        <x:v>21.268458000122337</x:v>
      </x:c>
      <x:c r="O87" s="10" t="n">
        <x:f>AVERAGE(L87:N87)</x:f>
        <x:v>21.103041664900957</x:v>
      </x:c>
      <x:c r="P87" s="19" t="str">
        <x:v>a297840b67f6
3af642c312d1
9d4afa97b483
0f64e9cba874
82cd75225d6b</x:v>
      </x:c>
      <x:c r="Q87" s="19" t="str">
        <x:v>vision_survey.pdf 第20页
vit.pdf 第2页
vision_survey.pdf 第20页
vision_survey.pdf 第20页
vision_survey.pdf 第20页</x:v>
      </x:c>
    </x:row>
    <x:row r="88" ht="95" customHeight="1">
      <x:c r="A88" s="2" t="str">
        <x:v>纯向量</x:v>
      </x:c>
      <x:c r="B88" s="2" t="str">
        <x:v>vision_survey-03-zh</x:v>
      </x:c>
      <x:c r="C88" s="2" t="str">
        <x:v>zh-&gt;zh</x:v>
      </x:c>
      <x:c r="D88" s="2" t="str">
        <x:v>vision_survey</x:v>
      </x:c>
      <x:c r="E88" s="19" t="str">
        <x:v>田永林等的视觉Transformer综述指出ViT在计算、数据和训练上有哪些不足？</x:v>
      </x:c>
      <x:c r="F88" s="7" t="n">
        <x:v>1</x:v>
      </x:c>
      <x:c r="G88" s="7"/>
      <x:c r="H88" s="7" t="n">
        <x:v>0</x:v>
      </x:c>
      <x:c r="I88" s="20" t="n">
        <x:f>IF(H88&gt;0,1,0)</x:f>
        <x:v>0</x:v>
      </x:c>
      <x:c r="J88" s="8" t="n">
        <x:f>H88/F88</x:f>
        <x:v>0</x:v>
      </x:c>
      <x:c r="K88" s="9" t="n">
        <x:f>IF(G88="",0,1/G88)</x:f>
        <x:v>0</x:v>
      </x:c>
      <x:c r="L88" s="10" t="n">
        <x:v>23.285458999453112</x:v>
      </x:c>
      <x:c r="M88" s="10" t="n">
        <x:v>21.234332998574246</x:v>
      </x:c>
      <x:c r="N88" s="10" t="n">
        <x:v>21.869749998586485</x:v>
      </x:c>
      <x:c r="O88" s="10" t="n">
        <x:f>AVERAGE(L88:N88)</x:f>
        <x:v>22.129847332204616</x:v>
      </x:c>
      <x:c r="P88" s="19" t="str">
        <x:v>ac03dc81db60
69912204f088
df5f4497c074
9e8ff685cc90
48fde759608a</x:v>
      </x:c>
      <x:c r="Q88" s="19" t="str">
        <x:v>vision_survey.pdf 第2页
vit.pdf 第8页
vision_survey.pdf 第4页
vision_survey.pdf 第22页
vision_survey.pdf 第1页</x:v>
      </x:c>
    </x:row>
    <x:row r="89" ht="95" customHeight="1">
      <x:c r="A89" s="2" t="str">
        <x:v>纯向量</x:v>
      </x:c>
      <x:c r="B89" s="2" t="str">
        <x:v>vision_survey-03-en</x:v>
      </x:c>
      <x:c r="C89" s="2" t="str">
        <x:v>en-&gt;zh</x:v>
      </x:c>
      <x:c r="D89" s="2" t="str">
        <x:v>vision_survey</x:v>
      </x:c>
      <x:c r="E89" s="19" t="str">
        <x:v>What computation, data, and training weaknesses of ViT are identified in Tian et al. vision Transformer survey?</x:v>
      </x:c>
      <x:c r="F89" s="7" t="n">
        <x:v>1</x:v>
      </x:c>
      <x:c r="G89" s="7"/>
      <x:c r="H89" s="7" t="n">
        <x:v>0</x:v>
      </x:c>
      <x:c r="I89" s="20" t="n">
        <x:f>IF(H89&gt;0,1,0)</x:f>
        <x:v>0</x:v>
      </x:c>
      <x:c r="J89" s="8" t="n">
        <x:f>H89/F89</x:f>
        <x:v>0</x:v>
      </x:c>
      <x:c r="K89" s="9" t="n">
        <x:f>IF(G89="",0,1/G89)</x:f>
        <x:v>0</x:v>
      </x:c>
      <x:c r="L89" s="10" t="n">
        <x:v>22.165958002005937</x:v>
      </x:c>
      <x:c r="M89" s="10" t="n">
        <x:v>21.827000000484986</x:v>
      </x:c>
      <x:c r="N89" s="10" t="n">
        <x:v>21.92737500081421</x:v>
      </x:c>
      <x:c r="O89" s="10" t="n">
        <x:f>AVERAGE(L89:N89)</x:f>
        <x:v>21.973444334435044</x:v>
      </x:c>
      <x:c r="P89" s="19" t="str">
        <x:v>69912204f088
d13062a8f78c
a297840b67f6
cacfd61ab6f7
89290903d7fe</x:v>
      </x:c>
      <x:c r="Q89" s="19" t="str">
        <x:v>vit.pdf 第8页
vit.pdf 第5页
vision_survey.pdf 第20页
vit.pdf 第7页
vit.pdf 第9页</x:v>
      </x:c>
    </x:row>
    <x:row r="90" ht="95" customHeight="1">
      <x:c r="A90" s="2" t="str">
        <x:v>纯向量</x:v>
      </x:c>
      <x:c r="B90" s="2" t="str">
        <x:v>vision_survey-04-zh</x:v>
      </x:c>
      <x:c r="C90" s="2" t="str">
        <x:v>zh-&gt;zh</x:v>
      </x:c>
      <x:c r="D90" s="2" t="str">
        <x:v>vision_survey</x:v>
      </x:c>
      <x:c r="E90" s="19" t="str">
        <x:v>田永林等的视觉Transformer综述中，Swin怎样通过窗口降低注意力计算量？</x:v>
      </x:c>
      <x:c r="F90" s="7" t="n">
        <x:v>1</x:v>
      </x:c>
      <x:c r="G90" s="7" t="n">
        <x:v>1</x:v>
      </x:c>
      <x:c r="H90" s="7" t="n">
        <x:v>1</x:v>
      </x:c>
      <x:c r="I90" s="20" t="n">
        <x:f>IF(H90&gt;0,1,0)</x:f>
        <x:v>1</x:v>
      </x:c>
      <x:c r="J90" s="8" t="n">
        <x:f>H90/F90</x:f>
        <x:v>1</x:v>
      </x:c>
      <x:c r="K90" s="9" t="n">
        <x:f>IF(G90="",0,1/G90)</x:f>
        <x:v>1</x:v>
      </x:c>
      <x:c r="L90" s="10" t="n">
        <x:v>21.99329100039904</x:v>
      </x:c>
      <x:c r="M90" s="10" t="n">
        <x:v>21.546457999647828</x:v>
      </x:c>
      <x:c r="N90" s="10" t="n">
        <x:v>21.74150000064401</x:v>
      </x:c>
      <x:c r="O90" s="10" t="n">
        <x:f>AVERAGE(L90:N90)</x:f>
        <x:v>21.760416333563626</x:v>
      </x:c>
      <x:c r="P90" s="19" t="str">
        <x:v>ebf2c2354074
df5f4497c074
f5383d7d4ecb
8956150d3bed
f2d7f5316027</x:v>
      </x:c>
      <x:c r="Q90" s="19" t="str">
        <x:v>vision_survey.pdf 第4页
vision_survey.pdf 第4页
vision_survey.pdf 第5页
vision_survey.pdf 第10页
vision_survey.pdf 第7页</x:v>
      </x:c>
    </x:row>
    <x:row r="91" ht="95" customHeight="1">
      <x:c r="A91" s="2" t="str">
        <x:v>纯向量</x:v>
      </x:c>
      <x:c r="B91" s="2" t="str">
        <x:v>vision_survey-04-en</x:v>
      </x:c>
      <x:c r="C91" s="2" t="str">
        <x:v>en-&gt;zh</x:v>
      </x:c>
      <x:c r="D91" s="2" t="str">
        <x:v>vision_survey</x:v>
      </x:c>
      <x:c r="E91" s="19" t="str">
        <x:v>How does Swin reduce attention computation using windows in Tian et al. vision Transformer survey?</x:v>
      </x:c>
      <x:c r="F91" s="7" t="n">
        <x:v>1</x:v>
      </x:c>
      <x:c r="G91" s="7"/>
      <x:c r="H91" s="7" t="n">
        <x:v>0</x:v>
      </x:c>
      <x:c r="I91" s="20" t="n">
        <x:f>IF(H91&gt;0,1,0)</x:f>
        <x:v>0</x:v>
      </x:c>
      <x:c r="J91" s="8" t="n">
        <x:f>H91/F91</x:f>
        <x:v>0</x:v>
      </x:c>
      <x:c r="K91" s="9" t="n">
        <x:f>IF(G91="",0,1/G91)</x:f>
        <x:v>0</x:v>
      </x:c>
      <x:c r="L91" s="10" t="n">
        <x:v>17.452166001021396</x:v>
      </x:c>
      <x:c r="M91" s="10" t="n">
        <x:v>17.66637499895296</x:v>
      </x:c>
      <x:c r="N91" s="10" t="n">
        <x:v>17.582417000085115</x:v>
      </x:c>
      <x:c r="O91" s="10" t="n">
        <x:f>AVERAGE(L91:N91)</x:f>
        <x:v>17.566986000019824</x:v>
      </x:c>
      <x:c r="P91" s="19" t="str">
        <x:v>3af642c312d1
c0f7198e6e1d
6c35cf93ae6c
69912204f088
a297840b67f6</x:v>
      </x:c>
      <x:c r="Q91" s="19" t="str">
        <x:v>vit.pdf 第2页
attention.pdf 第2页
vision_survey.pdf 第19页
vit.pdf 第8页
vision_survey.pdf 第20页</x:v>
      </x:c>
    </x:row>
    <x:row r="92" ht="95" customHeight="1">
      <x:c r="A92" s="2" t="str">
        <x:v>纯向量</x:v>
      </x:c>
      <x:c r="B92" s="2" t="str">
        <x:v>vision_survey-05-zh</x:v>
      </x:c>
      <x:c r="C92" s="2" t="str">
        <x:v>zh-&gt;zh</x:v>
      </x:c>
      <x:c r="D92" s="2" t="str">
        <x:v>vision_survey</x:v>
      </x:c>
      <x:c r="E92" s="19" t="str">
        <x:v>田永林等的视觉Transformer综述列举了哪两类降低注意力复杂度的方法？</x:v>
      </x:c>
      <x:c r="F92" s="7" t="n">
        <x:v>1</x:v>
      </x:c>
      <x:c r="G92" s="7" t="n">
        <x:v>4</x:v>
      </x:c>
      <x:c r="H92" s="7" t="n">
        <x:v>1</x:v>
      </x:c>
      <x:c r="I92" s="20" t="n">
        <x:f>IF(H92&gt;0,1,0)</x:f>
        <x:v>1</x:v>
      </x:c>
      <x:c r="J92" s="8" t="n">
        <x:f>H92/F92</x:f>
        <x:v>1</x:v>
      </x:c>
      <x:c r="K92" s="9" t="n">
        <x:f>IF(G92="",0,1/G92)</x:f>
        <x:v>0.25</x:v>
      </x:c>
      <x:c r="L92" s="10" t="n">
        <x:v>21.039584000391187</x:v>
      </x:c>
      <x:c r="M92" s="10" t="n">
        <x:v>21.925750002992572</x:v>
      </x:c>
      <x:c r="N92" s="10" t="n">
        <x:v>21.70033299989882</x:v>
      </x:c>
      <x:c r="O92" s="10" t="n">
        <x:f>AVERAGE(L92:N92)</x:f>
        <x:v>21.555222334427526</x:v>
      </x:c>
      <x:c r="P92" s="19" t="str">
        <x:v>df5f4497c074
f2d7f5316027
40dfdb1c2e9f
f01587576172
63af7bf26e9e</x:v>
      </x:c>
      <x:c r="Q92" s="19" t="str">
        <x:v>vision_survey.pdf 第4页
vision_survey.pdf 第7页
vision_survey.pdf 第7页
vision_survey.pdf 第4页
vision_survey.pdf 第7页</x:v>
      </x:c>
    </x:row>
    <x:row r="93" ht="95" customHeight="1">
      <x:c r="A93" s="2" t="str">
        <x:v>纯向量</x:v>
      </x:c>
      <x:c r="B93" s="2" t="str">
        <x:v>vision_survey-05-en</x:v>
      </x:c>
      <x:c r="C93" s="2" t="str">
        <x:v>en-&gt;zh</x:v>
      </x:c>
      <x:c r="D93" s="2" t="str">
        <x:v>vision_survey</x:v>
      </x:c>
      <x:c r="E93" s="19" t="str">
        <x:v>Which two types of methods reduce attention complexity in Tian et al. vision Transformer survey?</x:v>
      </x:c>
      <x:c r="F93" s="7" t="n">
        <x:v>1</x:v>
      </x:c>
      <x:c r="G93" s="7"/>
      <x:c r="H93" s="7" t="n">
        <x:v>0</x:v>
      </x:c>
      <x:c r="I93" s="20" t="n">
        <x:f>IF(H93&gt;0,1,0)</x:f>
        <x:v>0</x:v>
      </x:c>
      <x:c r="J93" s="8" t="n">
        <x:f>H93/F93</x:f>
        <x:v>0</x:v>
      </x:c>
      <x:c r="K93" s="9" t="n">
        <x:f>IF(G93="",0,1/G93)</x:f>
        <x:v>0</x:v>
      </x:c>
      <x:c r="L93" s="10" t="n">
        <x:v>21.41983399997116</x:v>
      </x:c>
      <x:c r="M93" s="10" t="n">
        <x:v>21.474958000908373</x:v>
      </x:c>
      <x:c r="N93" s="10" t="n">
        <x:v>22.207124999113148</x:v>
      </x:c>
      <x:c r="O93" s="10" t="n">
        <x:f>AVERAGE(L93:N93)</x:f>
        <x:v>21.70063899999756</x:v>
      </x:c>
      <x:c r="P93" s="19" t="str">
        <x:v>3af642c312d1
a297840b67f6
b52508095ab7
9d4afa97b483
430cc231bdbc</x:v>
      </x:c>
      <x:c r="Q93" s="19" t="str">
        <x:v>vit.pdf 第2页
vision_survey.pdf 第20页
vision_survey.pdf 第21页
vision_survey.pdf 第20页
vit.pdf 第1页</x:v>
      </x:c>
    </x:row>
    <x:row r="94" ht="95" customHeight="1">
      <x:c r="A94" s="2" t="str">
        <x:v>纯向量</x:v>
      </x:c>
      <x:c r="B94" s="2" t="str">
        <x:v>vision_survey-06-zh</x:v>
      </x:c>
      <x:c r="C94" s="2" t="str">
        <x:v>zh-&gt;zh</x:v>
      </x:c>
      <x:c r="D94" s="2" t="str">
        <x:v>vision_survey</x:v>
      </x:c>
      <x:c r="E94" s="19" t="str">
        <x:v>田永林等的视觉Transformer综述中，DETR怎样将预测和真值对应起来？</x:v>
      </x:c>
      <x:c r="F94" s="7" t="n">
        <x:v>1</x:v>
      </x:c>
      <x:c r="G94" s="7"/>
      <x:c r="H94" s="7" t="n">
        <x:v>0</x:v>
      </x:c>
      <x:c r="I94" s="20" t="n">
        <x:f>IF(H94&gt;0,1,0)</x:f>
        <x:v>0</x:v>
      </x:c>
      <x:c r="J94" s="8" t="n">
        <x:f>H94/F94</x:f>
        <x:v>0</x:v>
      </x:c>
      <x:c r="K94" s="9" t="n">
        <x:f>IF(G94="",0,1/G94)</x:f>
        <x:v>0</x:v>
      </x:c>
      <x:c r="L94" s="10" t="n">
        <x:v>22.27770800163853</x:v>
      </x:c>
      <x:c r="M94" s="10" t="n">
        <x:v>21.63720900352928</x:v>
      </x:c>
      <x:c r="N94" s="10" t="n">
        <x:v>21.349292001104914</x:v>
      </x:c>
      <x:c r="O94" s="10" t="n">
        <x:f>AVERAGE(L94:N94)</x:f>
        <x:v>21.75473633542424</x:v>
      </x:c>
      <x:c r="P94" s="19" t="str">
        <x:v>cf3a136f6c1c
773e67c921d4
74c08ebb3bde
6c35cf93ae6c
17353483e587</x:v>
      </x:c>
      <x:c r="Q94" s="19" t="str">
        <x:v>vision_survey.pdf 第19页
vision_survey.pdf 第13页
vision_survey.pdf 第22页
vision_survey.pdf 第19页
vision_survey.pdf 第1页</x:v>
      </x:c>
    </x:row>
    <x:row r="95" ht="95" customHeight="1">
      <x:c r="A95" s="2" t="str">
        <x:v>纯向量</x:v>
      </x:c>
      <x:c r="B95" s="2" t="str">
        <x:v>vision_survey-06-en</x:v>
      </x:c>
      <x:c r="C95" s="2" t="str">
        <x:v>en-&gt;zh</x:v>
      </x:c>
      <x:c r="D95" s="2" t="str">
        <x:v>vision_survey</x:v>
      </x:c>
      <x:c r="E95" s="19" t="str">
        <x:v>How does DETR assign predictions to ground truth in Tian et al. vision Transformer survey?</x:v>
      </x:c>
      <x:c r="F95" s="7" t="n">
        <x:v>1</x:v>
      </x:c>
      <x:c r="G95" s="7"/>
      <x:c r="H95" s="7" t="n">
        <x:v>0</x:v>
      </x:c>
      <x:c r="I95" s="20" t="n">
        <x:f>IF(H95&gt;0,1,0)</x:f>
        <x:v>0</x:v>
      </x:c>
      <x:c r="J95" s="8" t="n">
        <x:f>H95/F95</x:f>
        <x:v>0</x:v>
      </x:c>
      <x:c r="K95" s="9" t="n">
        <x:f>IF(G95="",0,1/G95)</x:f>
        <x:v>0</x:v>
      </x:c>
      <x:c r="L95" s="10" t="n">
        <x:v>21.440500000608154</x:v>
      </x:c>
      <x:c r="M95" s="10" t="n">
        <x:v>21.537000000535045</x:v>
      </x:c>
      <x:c r="N95" s="10" t="n">
        <x:v>21.326207999663893</x:v>
      </x:c>
      <x:c r="O95" s="10" t="n">
        <x:f>AVERAGE(L95:N95)</x:f>
        <x:v>21.434569333602365</x:v>
      </x:c>
      <x:c r="P95" s="19" t="str">
        <x:v>cf3a136f6c1c
6c35cf93ae6c
9d4afa97b483
83d1199a7c8e
69912204f088</x:v>
      </x:c>
      <x:c r="Q95" s="19" t="str">
        <x:v>vision_survey.pdf 第19页
vision_survey.pdf 第19页
vision_survey.pdf 第20页
vision_survey.pdf 第19页
vit.pdf 第8页</x:v>
      </x:c>
    </x:row>
    <x:row r="96" ht="95" customHeight="1">
      <x:c r="A96" s="2" t="str">
        <x:v>纯向量</x:v>
      </x:c>
      <x:c r="B96" s="2" t="str">
        <x:v>vision_survey-07-zh</x:v>
      </x:c>
      <x:c r="C96" s="2" t="str">
        <x:v>zh-&gt;zh</x:v>
      </x:c>
      <x:c r="D96" s="2" t="str">
        <x:v>vision_survey</x:v>
      </x:c>
      <x:c r="E96" s="19" t="str">
        <x:v>田永林等的视觉Transformer综述中，SETR采用哪些解码方案产生分割结果？</x:v>
      </x:c>
      <x:c r="F96" s="7" t="n">
        <x:v>1</x:v>
      </x:c>
      <x:c r="G96" s="7" t="n">
        <x:v>1</x:v>
      </x:c>
      <x:c r="H96" s="7" t="n">
        <x:v>1</x:v>
      </x:c>
      <x:c r="I96" s="20" t="n">
        <x:f>IF(H96&gt;0,1,0)</x:f>
        <x:v>1</x:v>
      </x:c>
      <x:c r="J96" s="8" t="n">
        <x:f>H96/F96</x:f>
        <x:v>1</x:v>
      </x:c>
      <x:c r="K96" s="9" t="n">
        <x:f>IF(G96="",0,1/G96)</x:f>
        <x:v>1</x:v>
      </x:c>
      <x:c r="L96" s="10" t="n">
        <x:v>20.521624999673804</x:v>
      </x:c>
      <x:c r="M96" s="10" t="n">
        <x:v>21.692624999559484</x:v>
      </x:c>
      <x:c r="N96" s="10" t="n">
        <x:v>21.65962499930174</x:v>
      </x:c>
      <x:c r="O96" s="10" t="n">
        <x:f>AVERAGE(L96:N96)</x:f>
        <x:v>21.291291666178342</x:v>
      </x:c>
      <x:c r="P96" s="19" t="str">
        <x:v>670f5ed67a6d
ba08f20acd91
b52508095ab7
17353483e587
ac03dc81db60</x:v>
      </x:c>
      <x:c r="Q96" s="19" t="str">
        <x:v>vision_survey.pdf 第17页
vision_survey.pdf 第18页
vision_survey.pdf 第21页
vision_survey.pdf 第1页
vision_survey.pdf 第2页</x:v>
      </x:c>
    </x:row>
    <x:row r="97" ht="95" customHeight="1">
      <x:c r="A97" s="2" t="str">
        <x:v>纯向量</x:v>
      </x:c>
      <x:c r="B97" s="2" t="str">
        <x:v>vision_survey-07-en</x:v>
      </x:c>
      <x:c r="C97" s="2" t="str">
        <x:v>en-&gt;zh</x:v>
      </x:c>
      <x:c r="D97" s="2" t="str">
        <x:v>vision_survey</x:v>
      </x:c>
      <x:c r="E97" s="19" t="str">
        <x:v>Which decoding schemes does SETR use for segmentation in Tian et al. vision Transformer survey?</x:v>
      </x:c>
      <x:c r="F97" s="7" t="n">
        <x:v>1</x:v>
      </x:c>
      <x:c r="G97" s="7"/>
      <x:c r="H97" s="7" t="n">
        <x:v>0</x:v>
      </x:c>
      <x:c r="I97" s="20" t="n">
        <x:f>IF(H97&gt;0,1,0)</x:f>
        <x:v>0</x:v>
      </x:c>
      <x:c r="J97" s="8" t="n">
        <x:f>H97/F97</x:f>
        <x:v>0</x:v>
      </x:c>
      <x:c r="K97" s="9" t="n">
        <x:f>IF(G97="",0,1/G97)</x:f>
        <x:v>0</x:v>
      </x:c>
      <x:c r="L97" s="10" t="n">
        <x:v>21.784959000797244</x:v>
      </x:c>
      <x:c r="M97" s="10" t="n">
        <x:v>21.139042000868358</x:v>
      </x:c>
      <x:c r="N97" s="10" t="n">
        <x:v>20.83337500152993</x:v>
      </x:c>
      <x:c r="O97" s="10" t="n">
        <x:f>AVERAGE(L97:N97)</x:f>
        <x:v>21.252458667731844</x:v>
      </x:c>
      <x:c r="P97" s="19" t="str">
        <x:v>74c08ebb3bde
aa5d0a80d8fa
83d1199a7c8e
1040b54e7651
a89c0259f5be</x:v>
      </x:c>
      <x:c r="Q97" s="19" t="str">
        <x:v>vision_survey.pdf 第22页
vision_survey.pdf 第22页
vision_survey.pdf 第19页
vision_survey.pdf 第22页
vit.pdf 第14页</x:v>
      </x:c>
    </x:row>
    <x:row r="98" ht="95" customHeight="1">
      <x:c r="A98" s="2" t="str">
        <x:v>纯向量</x:v>
      </x:c>
      <x:c r="B98" s="2" t="str">
        <x:v>vision_survey-08-zh</x:v>
      </x:c>
      <x:c r="C98" s="2" t="str">
        <x:v>zh-&gt;zh</x:v>
      </x:c>
      <x:c r="D98" s="2" t="str">
        <x:v>vision_survey</x:v>
      </x:c>
      <x:c r="E98" s="19" t="str">
        <x:v>田永林等的视觉Transformer综述中，SegFormer如何保留多尺度特征并去除位置编码？</x:v>
      </x:c>
      <x:c r="F98" s="7" t="n">
        <x:v>1</x:v>
      </x:c>
      <x:c r="G98" s="7"/>
      <x:c r="H98" s="7" t="n">
        <x:v>0</x:v>
      </x:c>
      <x:c r="I98" s="20" t="n">
        <x:f>IF(H98&gt;0,1,0)</x:f>
        <x:v>0</x:v>
      </x:c>
      <x:c r="J98" s="8" t="n">
        <x:f>H98/F98</x:f>
        <x:v>0</x:v>
      </x:c>
      <x:c r="K98" s="9" t="n">
        <x:f>IF(G98="",0,1/G98)</x:f>
        <x:v>0</x:v>
      </x:c>
      <x:c r="L98" s="10" t="n">
        <x:v>22.041874999558786</x:v>
      </x:c>
      <x:c r="M98" s="10" t="n">
        <x:v>21.939582999038976</x:v>
      </x:c>
      <x:c r="N98" s="10" t="n">
        <x:v>22.601208002015483</x:v>
      </x:c>
      <x:c r="O98" s="10" t="n">
        <x:f>AVERAGE(L98:N98)</x:f>
        <x:v>22.194222000204416</x:v>
      </x:c>
      <x:c r="P98" s="19" t="str">
        <x:v>468f8bc26e15
b52508095ab7
69912204f088
1040b54e7651
e0b1e365d6e2</x:v>
      </x:c>
      <x:c r="Q98" s="19" t="str">
        <x:v>vision_survey.pdf 第20页
vision_survey.pdf 第21页
vit.pdf 第8页
vision_survey.pdf 第22页
vit.pdf 第16页</x:v>
      </x:c>
    </x:row>
    <x:row r="99" ht="95" customHeight="1">
      <x:c r="A99" s="2" t="str">
        <x:v>纯向量</x:v>
      </x:c>
      <x:c r="B99" s="2" t="str">
        <x:v>vision_survey-08-en</x:v>
      </x:c>
      <x:c r="C99" s="2" t="str">
        <x:v>en-&gt;zh</x:v>
      </x:c>
      <x:c r="D99" s="2" t="str">
        <x:v>vision_survey</x:v>
      </x:c>
      <x:c r="E99" s="19" t="str">
        <x:v>How does SegFormer preserve multiscale features and remove position encodings in Tian et al. vision Transformer survey?</x:v>
      </x:c>
      <x:c r="F99" s="7" t="n">
        <x:v>1</x:v>
      </x:c>
      <x:c r="G99" s="7"/>
      <x:c r="H99" s="7" t="n">
        <x:v>0</x:v>
      </x:c>
      <x:c r="I99" s="20" t="n">
        <x:f>IF(H99&gt;0,1,0)</x:f>
        <x:v>0</x:v>
      </x:c>
      <x:c r="J99" s="8" t="n">
        <x:f>H99/F99</x:f>
        <x:v>0</x:v>
      </x:c>
      <x:c r="K99" s="9" t="n">
        <x:f>IF(G99="",0,1/G99)</x:f>
        <x:v>0</x:v>
      </x:c>
      <x:c r="L99" s="10" t="n">
        <x:v>22.122125003079418</x:v>
      </x:c>
      <x:c r="M99" s="10" t="n">
        <x:v>21.43962500122143</x:v>
      </x:c>
      <x:c r="N99" s="10" t="n">
        <x:v>21.980083001835737</x:v>
      </x:c>
      <x:c r="O99" s="10" t="n">
        <x:f>AVERAGE(L99:N99)</x:f>
        <x:v>21.847277668712195</x:v>
      </x:c>
      <x:c r="P99" s="19" t="str">
        <x:v>b52508095ab7
a297840b67f6
0f64e9cba874
9d4afa97b483
69912204f088</x:v>
      </x:c>
      <x:c r="Q99" s="19" t="str">
        <x:v>vision_survey.pdf 第21页
vision_survey.pdf 第20页
vision_survey.pdf 第20页
vision_survey.pdf 第20页
vit.pdf 第8页</x:v>
      </x:c>
    </x:row>
    <x:row r="100" ht="95" customHeight="1">
      <x:c r="A100" s="2" t="str">
        <x:v>混合检索</x:v>
      </x:c>
      <x:c r="B100" s="2" t="str">
        <x:v>attention-01-zh</x:v>
      </x:c>
      <x:c r="C100" s="2" t="str">
        <x:v>zh-&gt;en</x:v>
      </x:c>
      <x:c r="D100" s="2" t="str">
        <x:v>attention</x:v>
      </x:c>
      <x:c r="E100" s="19" t="str">
        <x:v>原始Transformer编码器堆叠了多少层？</x:v>
      </x:c>
      <x:c r="F100" s="7" t="n">
        <x:v>1</x:v>
      </x:c>
      <x:c r="G100" s="7"/>
      <x:c r="H100" s="7" t="n">
        <x:v>0</x:v>
      </x:c>
      <x:c r="I100" s="20" t="n">
        <x:f>IF(H100&gt;0,1,0)</x:f>
        <x:v>0</x:v>
      </x:c>
      <x:c r="J100" s="8" t="n">
        <x:f>H100/F100</x:f>
        <x:v>0</x:v>
      </x:c>
      <x:c r="K100" s="9" t="n">
        <x:f>IF(G100="",0,1/G100)</x:f>
        <x:v>0</x:v>
      </x:c>
      <x:c r="L100" s="10" t="n">
        <x:v>62.93166699833819</x:v>
      </x:c>
      <x:c r="M100" s="10" t="n">
        <x:v>70.61604199770954</x:v>
      </x:c>
      <x:c r="N100" s="10" t="n">
        <x:v>65.01554100032081</x:v>
      </x:c>
      <x:c r="O100" s="10" t="n">
        <x:f>AVERAGE(L100:N100)</x:f>
        <x:v>66.18774999878951</x:v>
      </x:c>
      <x:c r="P100" s="19" t="str">
        <x:v>6eab2dd1fd9a
132453b8955b
670f5ed67a6d
b6d06d6818f5
2ef7c88c1608</x:v>
      </x:c>
      <x:c r="Q100" s="19" t="str">
        <x:v>vision_survey.pdf 第12页
vision_survey.pdf 第12页
vision_survey.pdf 第17页
vision_survey.pdf 第2页
vision_survey.pdf 第14页</x:v>
      </x:c>
    </x:row>
    <x:row r="101" ht="95" customHeight="1">
      <x:c r="A101" s="2" t="str">
        <x:v>混合检索</x:v>
      </x:c>
      <x:c r="B101" s="2" t="str">
        <x:v>attention-01-en</x:v>
      </x:c>
      <x:c r="C101" s="2" t="str">
        <x:v>en-&gt;en</x:v>
      </x:c>
      <x:c r="D101" s="2" t="str">
        <x:v>attention</x:v>
      </x:c>
      <x:c r="E101" s="19" t="str">
        <x:v>How many identical encoder layers are stacked in the original Transformer?</x:v>
      </x:c>
      <x:c r="F101" s="7" t="n">
        <x:v>1</x:v>
      </x:c>
      <x:c r="G101" s="7" t="n">
        <x:v>1</x:v>
      </x:c>
      <x:c r="H101" s="7" t="n">
        <x:v>1</x:v>
      </x:c>
      <x:c r="I101" s="20" t="n">
        <x:f>IF(H101&gt;0,1,0)</x:f>
        <x:v>1</x:v>
      </x:c>
      <x:c r="J101" s="8" t="n">
        <x:f>H101/F101</x:f>
        <x:v>1</x:v>
      </x:c>
      <x:c r="K101" s="9" t="n">
        <x:f>IF(G101="",0,1/G101)</x:f>
        <x:v>1</x:v>
      </x:c>
      <x:c r="L101" s="10" t="n">
        <x:v>66.9029579985363</x:v>
      </x:c>
      <x:c r="M101" s="10" t="n">
        <x:v>66.10879200161435</x:v>
      </x:c>
      <x:c r="N101" s="10" t="n">
        <x:v>66.15229099770659</x:v>
      </x:c>
      <x:c r="O101" s="10" t="n">
        <x:f>AVERAGE(L101:N101)</x:f>
        <x:v>66.38801366595241</x:v>
      </x:c>
      <x:c r="P101" s="19" t="str">
        <x:v>92f8ad03bc04
6bf22889f352
5dfc694be586
9e9acdbba6f7
9e10368c4228</x:v>
      </x:c>
      <x:c r="Q101" s="19" t="str">
        <x:v>attention.pdf 第3页
attention.pdf 第3页
vit.pdf 第18页
vit.pdf 第3页
bert.pdf 第3页</x:v>
      </x:c>
    </x:row>
    <x:row r="102" ht="95" customHeight="1">
      <x:c r="A102" s="2" t="str">
        <x:v>混合检索</x:v>
      </x:c>
      <x:c r="B102" s="2" t="str">
        <x:v>attention-02-zh</x:v>
      </x:c>
      <x:c r="C102" s="2" t="str">
        <x:v>zh-&gt;en</x:v>
      </x:c>
      <x:c r="D102" s="2" t="str">
        <x:v>attention</x:v>
      </x:c>
      <x:c r="E102" s="19" t="str">
        <x:v>原始Transformer用了多少个注意力头，每个头的键和值维度是多少？</x:v>
      </x:c>
      <x:c r="F102" s="7" t="n">
        <x:v>1</x:v>
      </x:c>
      <x:c r="G102" s="7"/>
      <x:c r="H102" s="7" t="n">
        <x:v>0</x:v>
      </x:c>
      <x:c r="I102" s="20" t="n">
        <x:f>IF(H102&gt;0,1,0)</x:f>
        <x:v>0</x:v>
      </x:c>
      <x:c r="J102" s="8" t="n">
        <x:f>H102/F102</x:f>
        <x:v>0</x:v>
      </x:c>
      <x:c r="K102" s="9" t="n">
        <x:f>IF(G102="",0,1/G102)</x:f>
        <x:v>0</x:v>
      </x:c>
      <x:c r="L102" s="10" t="n">
        <x:v>65.61970800248673</x:v>
      </x:c>
      <x:c r="M102" s="10" t="n">
        <x:v>70.10437500139233</x:v>
      </x:c>
      <x:c r="N102" s="10" t="n">
        <x:v>66.40012500065495</x:v>
      </x:c>
      <x:c r="O102" s="10" t="n">
        <x:f>AVERAGE(L102:N102)</x:f>
        <x:v>67.37473600151134</x:v>
      </x:c>
      <x:c r="P102" s="19" t="str">
        <x:v>df5f4497c074
36bcd9a8b40b
b961d9124883
2eef08fe507d
7a8104b7b265</x:v>
      </x:c>
      <x:c r="Q102" s="19" t="str">
        <x:v>vision_survey.pdf 第4页
vision_survey.pdf 第7页
vision_survey.pdf 第9页
vision_survey.pdf 第5页
vision_survey.pdf 第3页</x:v>
      </x:c>
    </x:row>
    <x:row r="103" ht="95" customHeight="1">
      <x:c r="A103" s="2" t="str">
        <x:v>混合检索</x:v>
      </x:c>
      <x:c r="B103" s="2" t="str">
        <x:v>attention-02-en</x:v>
      </x:c>
      <x:c r="C103" s="2" t="str">
        <x:v>en-&gt;en</x:v>
      </x:c>
      <x:c r="D103" s="2" t="str">
        <x:v>attention</x:v>
      </x:c>
      <x:c r="E103" s="19" t="str">
        <x:v>How many attention heads does the original Transformer use, and what are the key and value dimensions per head?</x:v>
      </x:c>
      <x:c r="F103" s="7" t="n">
        <x:v>1</x:v>
      </x:c>
      <x:c r="G103" s="7"/>
      <x:c r="H103" s="7" t="n">
        <x:v>0</x:v>
      </x:c>
      <x:c r="I103" s="20" t="n">
        <x:f>IF(H103&gt;0,1,0)</x:f>
        <x:v>0</x:v>
      </x:c>
      <x:c r="J103" s="8" t="n">
        <x:f>H103/F103</x:f>
        <x:v>0</x:v>
      </x:c>
      <x:c r="K103" s="9" t="n">
        <x:f>IF(G103="",0,1/G103)</x:f>
        <x:v>0</x:v>
      </x:c>
      <x:c r="L103" s="10" t="n">
        <x:v>69.03608299762709</x:v>
      </x:c>
      <x:c r="M103" s="10" t="n">
        <x:v>69.65362499977346</x:v>
      </x:c>
      <x:c r="N103" s="10" t="n">
        <x:v>71.82987499982119</x:v>
      </x:c>
      <x:c r="O103" s="10" t="n">
        <x:f>AVERAGE(L103:N103)</x:f>
        <x:v>70.17319433240725</x:v>
      </x:c>
      <x:c r="P103" s="19" t="str">
        <x:v>3c0d73d07217
f87b2b81f67d
ae6243042c19
9e10368c4228
7ae52080397d</x:v>
      </x:c>
      <x:c r="Q103" s="19" t="str">
        <x:v>attention.pdf 第9页
vit.pdf 第16页
attention.pdf 第4页
bert.pdf 第3页
attention.pdf 第5页</x:v>
      </x:c>
    </x:row>
    <x:row r="104" ht="95" customHeight="1">
      <x:c r="A104" s="2" t="str">
        <x:v>混合检索</x:v>
      </x:c>
      <x:c r="B104" s="2" t="str">
        <x:v>attention-03-zh</x:v>
      </x:c>
      <x:c r="C104" s="2" t="str">
        <x:v>zh-&gt;en</x:v>
      </x:c>
      <x:c r="D104" s="2" t="str">
        <x:v>attention</x:v>
      </x:c>
      <x:c r="E104" s="19" t="str">
        <x:v>Attention Is All You Need如何用三角函数表示序列位置？</x:v>
      </x:c>
      <x:c r="F104" s="7" t="n">
        <x:v>2</x:v>
      </x:c>
      <x:c r="G104" s="7"/>
      <x:c r="H104" s="7" t="n">
        <x:v>0</x:v>
      </x:c>
      <x:c r="I104" s="20" t="n">
        <x:f>IF(H104&gt;0,1,0)</x:f>
        <x:v>0</x:v>
      </x:c>
      <x:c r="J104" s="8" t="n">
        <x:f>H104/F104</x:f>
        <x:v>0</x:v>
      </x:c>
      <x:c r="K104" s="9" t="n">
        <x:f>IF(G104="",0,1/G104)</x:f>
        <x:v>0</x:v>
      </x:c>
      <x:c r="L104" s="10" t="n">
        <x:v>70.27604199902271</x:v>
      </x:c>
      <x:c r="M104" s="10" t="n">
        <x:v>65.92541700229049</x:v>
      </x:c>
      <x:c r="N104" s="10" t="n">
        <x:v>66.94566599981044</x:v>
      </x:c>
      <x:c r="O104" s="10" t="n">
        <x:f>AVERAGE(L104:N104)</x:f>
        <x:v>67.71570833370788</x:v>
      </x:c>
      <x:c r="P104" s="19" t="str">
        <x:v>132453b8955b
2100dde8b1e3
2eef08fe507d
b1be54a299af
6fa0d8afc8be</x:v>
      </x:c>
      <x:c r="Q104" s="19" t="str">
        <x:v>vision_survey.pdf 第12页
vit.pdf 第21页
vision_survey.pdf 第5页
attention.pdf 第5页
attention.pdf 第6页</x:v>
      </x:c>
    </x:row>
    <x:row r="105" ht="95" customHeight="1">
      <x:c r="A105" s="2" t="str">
        <x:v>混合检索</x:v>
      </x:c>
      <x:c r="B105" s="2" t="str">
        <x:v>attention-03-en</x:v>
      </x:c>
      <x:c r="C105" s="2" t="str">
        <x:v>en-&gt;en</x:v>
      </x:c>
      <x:c r="D105" s="2" t="str">
        <x:v>attention</x:v>
      </x:c>
      <x:c r="E105" s="19" t="str">
        <x:v>How does Attention Is All You Need represent token positions with trigonometric functions?</x:v>
      </x:c>
      <x:c r="F105" s="7" t="n">
        <x:v>2</x:v>
      </x:c>
      <x:c r="G105" s="7"/>
      <x:c r="H105" s="7" t="n">
        <x:v>0</x:v>
      </x:c>
      <x:c r="I105" s="20" t="n">
        <x:f>IF(H105&gt;0,1,0)</x:f>
        <x:v>0</x:v>
      </x:c>
      <x:c r="J105" s="8" t="n">
        <x:f>H105/F105</x:f>
        <x:v>0</x:v>
      </x:c>
      <x:c r="K105" s="9" t="n">
        <x:f>IF(G105="",0,1/G105)</x:f>
        <x:v>0</x:v>
      </x:c>
      <x:c r="L105" s="10" t="n">
        <x:v>64.01508400085731</x:v>
      </x:c>
      <x:c r="M105" s="10" t="n">
        <x:v>67.16104199949768</x:v>
      </x:c>
      <x:c r="N105" s="10" t="n">
        <x:v>64.17445800252608</x:v>
      </x:c>
      <x:c r="O105" s="10" t="n">
        <x:f>AVERAGE(L105:N105)</x:f>
        <x:v>65.11686133429369</x:v>
      </x:c>
      <x:c r="P105" s="19" t="str">
        <x:v>cd4d1ed5e0ec
59c17d4c9b04
020171afdb79
45f023e01607
260dae2cb298</x:v>
      </x:c>
      <x:c r="Q105" s="19" t="str">
        <x:v>bert.pdf 第4页
attention.pdf 第3页
bert.pdf 第8页
attention.pdf 第2页
vit.pdf 第16页</x:v>
      </x:c>
    </x:row>
    <x:row r="106" ht="95" customHeight="1">
      <x:c r="A106" s="2" t="str">
        <x:v>混合检索</x:v>
      </x:c>
      <x:c r="B106" s="2" t="str">
        <x:v>attention-04-zh</x:v>
      </x:c>
      <x:c r="C106" s="2" t="str">
        <x:v>zh-&gt;en</x:v>
      </x:c>
      <x:c r="D106" s="2" t="str">
        <x:v>attention</x:v>
      </x:c>
      <x:c r="E106" s="19" t="str">
        <x:v>Attention Is All You Need使用的优化器及两个动量参数是什么？</x:v>
      </x:c>
      <x:c r="F106" s="7" t="n">
        <x:v>1</x:v>
      </x:c>
      <x:c r="G106" s="7"/>
      <x:c r="H106" s="7" t="n">
        <x:v>0</x:v>
      </x:c>
      <x:c r="I106" s="20" t="n">
        <x:f>IF(H106&gt;0,1,0)</x:f>
        <x:v>0</x:v>
      </x:c>
      <x:c r="J106" s="8" t="n">
        <x:f>H106/F106</x:f>
        <x:v>0</x:v>
      </x:c>
      <x:c r="K106" s="9" t="n">
        <x:f>IF(G106="",0,1/G106)</x:f>
        <x:v>0</x:v>
      </x:c>
      <x:c r="L106" s="10" t="n">
        <x:v>69.91250000282889</x:v>
      </x:c>
      <x:c r="M106" s="10" t="n">
        <x:v>67.71491700055776</x:v>
      </x:c>
      <x:c r="N106" s="10" t="n">
        <x:v>65.15133300126763</x:v>
      </x:c>
      <x:c r="O106" s="10" t="n">
        <x:f>AVERAGE(L106:N106)</x:f>
        <x:v>67.5929166682181</x:v>
      </x:c>
      <x:c r="P106" s="19" t="str">
        <x:v>9d7aacec5476
dadffcf4d148
13c82fbbc8a5
5c79955f1235
d3fc82a0a82c</x:v>
      </x:c>
      <x:c r="Q106" s="19" t="str">
        <x:v>attention.pdf 第5页
compression.pdf 第2页
attention.pdf 第4页
cnn_survey.pdf 第12页
attention.pdf 第4页</x:v>
      </x:c>
    </x:row>
    <x:row r="107" ht="95" customHeight="1">
      <x:c r="A107" s="2" t="str">
        <x:v>混合检索</x:v>
      </x:c>
      <x:c r="B107" s="2" t="str">
        <x:v>attention-04-en</x:v>
      </x:c>
      <x:c r="C107" s="2" t="str">
        <x:v>en-&gt;en</x:v>
      </x:c>
      <x:c r="D107" s="2" t="str">
        <x:v>attention</x:v>
      </x:c>
      <x:c r="E107" s="19" t="str">
        <x:v>Which optimizer and two beta parameters are used in Attention Is All You Need?</x:v>
      </x:c>
      <x:c r="F107" s="7" t="n">
        <x:v>1</x:v>
      </x:c>
      <x:c r="G107" s="7"/>
      <x:c r="H107" s="7" t="n">
        <x:v>0</x:v>
      </x:c>
      <x:c r="I107" s="20" t="n">
        <x:f>IF(H107&gt;0,1,0)</x:f>
        <x:v>0</x:v>
      </x:c>
      <x:c r="J107" s="8" t="n">
        <x:f>H107/F107</x:f>
        <x:v>0</x:v>
      </x:c>
      <x:c r="K107" s="9" t="n">
        <x:f>IF(G107="",0,1/G107)</x:f>
        <x:v>0</x:v>
      </x:c>
      <x:c r="L107" s="10" t="n">
        <x:v>65.03929099926609</x:v>
      </x:c>
      <x:c r="M107" s="10" t="n">
        <x:v>67.10687499798951</x:v>
      </x:c>
      <x:c r="N107" s="10" t="n">
        <x:v>67.30208299995866</x:v>
      </x:c>
      <x:c r="O107" s="10" t="n">
        <x:f>AVERAGE(L107:N107)</x:f>
        <x:v>66.48274966573808</x:v>
      </x:c>
      <x:c r="P107" s="19" t="str">
        <x:v>d3fc82a0a82c
5d0a6020f091
7f1d6111d701
9f231b96c598
9d7e6e10604a</x:v>
      </x:c>
      <x:c r="Q107" s="19" t="str">
        <x:v>attention.pdf 第4页
bert.pdf 第5页
vit.pdf 第19页
vit.pdf 第12页
bert.pdf 第11页</x:v>
      </x:c>
    </x:row>
    <x:row r="108" ht="95" customHeight="1">
      <x:c r="A108" s="2" t="str">
        <x:v>混合检索</x:v>
      </x:c>
      <x:c r="B108" s="2" t="str">
        <x:v>attention-05-zh</x:v>
      </x:c>
      <x:c r="C108" s="2" t="str">
        <x:v>zh-&gt;en</x:v>
      </x:c>
      <x:c r="D108" s="2" t="str">
        <x:v>attention</x:v>
      </x:c>
      <x:c r="E108" s="19" t="str">
        <x:v>Attention Is All You Need使用多大的标签平滑值，它对困惑度和BLEU有何影响？</x:v>
      </x:c>
      <x:c r="F108" s="7" t="n">
        <x:v>1</x:v>
      </x:c>
      <x:c r="G108" s="7"/>
      <x:c r="H108" s="7" t="n">
        <x:v>0</x:v>
      </x:c>
      <x:c r="I108" s="20" t="n">
        <x:f>IF(H108&gt;0,1,0)</x:f>
        <x:v>0</x:v>
      </x:c>
      <x:c r="J108" s="8" t="n">
        <x:f>H108/F108</x:f>
        <x:v>0</x:v>
      </x:c>
      <x:c r="K108" s="9" t="n">
        <x:f>IF(G108="",0,1/G108)</x:f>
        <x:v>0</x:v>
      </x:c>
      <x:c r="L108" s="10" t="n">
        <x:v>73.7345000015921</x:v>
      </x:c>
      <x:c r="M108" s="10" t="n">
        <x:v>71.51441699897987</x:v>
      </x:c>
      <x:c r="N108" s="10" t="n">
        <x:v>69.63216700023622</x:v>
      </x:c>
      <x:c r="O108" s="10" t="n">
        <x:f>AVERAGE(L108:N108)</x:f>
        <x:v>71.62702800026939</x:v>
      </x:c>
      <x:c r="P108" s="19" t="str">
        <x:v>3c0d73d07217
42b4f550385e
38f71ea35841
655ac0da640d
a315378460c5</x:v>
      </x:c>
      <x:c r="Q108" s="19" t="str">
        <x:v>attention.pdf 第9页
cnn_survey.pdf 第8页
cnn_survey.pdf 第9页
vit.pdf 第20页
cnn_survey.pdf 第15页</x:v>
      </x:c>
    </x:row>
    <x:row r="109" ht="95" customHeight="1">
      <x:c r="A109" s="2" t="str">
        <x:v>混合检索</x:v>
      </x:c>
      <x:c r="B109" s="2" t="str">
        <x:v>attention-05-en</x:v>
      </x:c>
      <x:c r="C109" s="2" t="str">
        <x:v>en-&gt;en</x:v>
      </x:c>
      <x:c r="D109" s="2" t="str">
        <x:v>attention</x:v>
      </x:c>
      <x:c r="E109" s="19" t="str">
        <x:v>What label smoothing value is used in Attention Is All You Need, and how does it affect perplexity and BLEU?</x:v>
      </x:c>
      <x:c r="F109" s="7" t="n">
        <x:v>1</x:v>
      </x:c>
      <x:c r="G109" s="7" t="n">
        <x:v>1</x:v>
      </x:c>
      <x:c r="H109" s="7" t="n">
        <x:v>1</x:v>
      </x:c>
      <x:c r="I109" s="20" t="n">
        <x:f>IF(H109&gt;0,1,0)</x:f>
        <x:v>1</x:v>
      </x:c>
      <x:c r="J109" s="8" t="n">
        <x:f>H109/F109</x:f>
        <x:v>1</x:v>
      </x:c>
      <x:c r="K109" s="9" t="n">
        <x:f>IF(G109="",0,1/G109)</x:f>
        <x:v>1</x:v>
      </x:c>
      <x:c r="L109" s="10" t="n">
        <x:v>71.48470799802453</x:v>
      </x:c>
      <x:c r="M109" s="10" t="n">
        <x:v>74.35974999680184</x:v>
      </x:c>
      <x:c r="N109" s="10" t="n">
        <x:v>71.38962499811896</x:v>
      </x:c>
      <x:c r="O109" s="10" t="n">
        <x:f>AVERAGE(L109:N109)</x:f>
        <x:v>72.41136099764844</x:v>
      </x:c>
      <x:c r="P109" s="19" t="str">
        <x:v>5c3387930c38
655ac0da640d
0687e5649013
3c0d73d07217
9b0b9c2680b6</x:v>
      </x:c>
      <x:c r="Q109" s="19" t="str">
        <x:v>attention.pdf 第8页
vit.pdf 第20页
attention.pdf 第1页
attention.pdf 第9页
vit.pdf 第6页</x:v>
      </x:c>
    </x:row>
    <x:row r="110" ht="95" customHeight="1">
      <x:c r="A110" s="2" t="str">
        <x:v>混合检索</x:v>
      </x:c>
      <x:c r="B110" s="2" t="str">
        <x:v>attention-06-zh</x:v>
      </x:c>
      <x:c r="C110" s="2" t="str">
        <x:v>zh-&gt;en</x:v>
      </x:c>
      <x:c r="D110" s="2" t="str">
        <x:v>attention</x:v>
      </x:c>
      <x:c r="E110" s="19" t="str">
        <x:v>原始Transformer解码器怎样避免看到尚未生成的词？</x:v>
      </x:c>
      <x:c r="F110" s="7" t="n">
        <x:v>2</x:v>
      </x:c>
      <x:c r="G110" s="7"/>
      <x:c r="H110" s="7" t="n">
        <x:v>0</x:v>
      </x:c>
      <x:c r="I110" s="20" t="n">
        <x:f>IF(H110&gt;0,1,0)</x:f>
        <x:v>0</x:v>
      </x:c>
      <x:c r="J110" s="8" t="n">
        <x:f>H110/F110</x:f>
        <x:v>0</x:v>
      </x:c>
      <x:c r="K110" s="9" t="n">
        <x:f>IF(G110="",0,1/G110)</x:f>
        <x:v>0</x:v>
      </x:c>
      <x:c r="L110" s="10" t="n">
        <x:v>63.61124999966705</x:v>
      </x:c>
      <x:c r="M110" s="10" t="n">
        <x:v>66.85304200073006</x:v>
      </x:c>
      <x:c r="N110" s="10" t="n">
        <x:v>69.0674580000632</x:v>
      </x:c>
      <x:c r="O110" s="10" t="n">
        <x:f>AVERAGE(L110:N110)</x:f>
        <x:v>66.51058333348676</x:v>
      </x:c>
      <x:c r="P110" s="19" t="str">
        <x:v>b659695fa2a5
6eab2dd1fd9a
2ef7c88c1608
d60fcd987e92
2eef08fe507d</x:v>
      </x:c>
      <x:c r="Q110" s="19" t="str">
        <x:v>cnn_survey.pdf 第8页
vision_survey.pdf 第12页
vision_survey.pdf 第14页
attention.pdf 第2页
vision_survey.pdf 第5页</x:v>
      </x:c>
    </x:row>
    <x:row r="111" ht="95" customHeight="1">
      <x:c r="A111" s="2" t="str">
        <x:v>混合检索</x:v>
      </x:c>
      <x:c r="B111" s="2" t="str">
        <x:v>attention-06-en</x:v>
      </x:c>
      <x:c r="C111" s="2" t="str">
        <x:v>en-&gt;en</x:v>
      </x:c>
      <x:c r="D111" s="2" t="str">
        <x:v>attention</x:v>
      </x:c>
      <x:c r="E111" s="19" t="str">
        <x:v>How does the original Transformer decoder prevent attending to future tokens?</x:v>
      </x:c>
      <x:c r="F111" s="7" t="n">
        <x:v>2</x:v>
      </x:c>
      <x:c r="G111" s="7"/>
      <x:c r="H111" s="7" t="n">
        <x:v>0</x:v>
      </x:c>
      <x:c r="I111" s="20" t="n">
        <x:f>IF(H111&gt;0,1,0)</x:f>
        <x:v>0</x:v>
      </x:c>
      <x:c r="J111" s="8" t="n">
        <x:f>H111/F111</x:f>
        <x:v>0</x:v>
      </x:c>
      <x:c r="K111" s="9" t="n">
        <x:f>IF(G111="",0,1/G111)</x:f>
        <x:v>0</x:v>
      </x:c>
      <x:c r="L111" s="10" t="n">
        <x:v>63.076082999032224</x:v>
      </x:c>
      <x:c r="M111" s="10" t="n">
        <x:v>67.34433299789089</x:v>
      </x:c>
      <x:c r="N111" s="10" t="n">
        <x:v>65.01220900099725</x:v>
      </x:c>
      <x:c r="O111" s="10" t="n">
        <x:f>AVERAGE(L111:N111)</x:f>
        <x:v>65.14420833264012</x:v>
      </x:c>
      <x:c r="P111" s="19" t="str">
        <x:v>9d7aacec5476
38a5178c2dd3
37c1b833b7e6
9e9acdbba6f7
76c144c18e9a</x:v>
      </x:c>
      <x:c r="Q111" s="19" t="str">
        <x:v>attention.pdf 第5页
bert.pdf 第4页
attention.pdf 第5页
vit.pdf 第3页
attention.pdf 第10页</x:v>
      </x:c>
    </x:row>
    <x:row r="112" ht="95" customHeight="1">
      <x:c r="A112" s="2" t="str">
        <x:v>混合检索</x:v>
      </x:c>
      <x:c r="B112" s="2" t="str">
        <x:v>attention-07-zh</x:v>
      </x:c>
      <x:c r="C112" s="2" t="str">
        <x:v>zh-&gt;en</x:v>
      </x:c>
      <x:c r="D112" s="2" t="str">
        <x:v>attention</x:v>
      </x:c>
      <x:c r="E112" s="19" t="str">
        <x:v>Attention Is All You Need的英法训练集规模和词表大小分别是多少？</x:v>
      </x:c>
      <x:c r="F112" s="7" t="n">
        <x:v>1</x:v>
      </x:c>
      <x:c r="G112" s="7" t="n">
        <x:v>4</x:v>
      </x:c>
      <x:c r="H112" s="7" t="n">
        <x:v>1</x:v>
      </x:c>
      <x:c r="I112" s="20" t="n">
        <x:f>IF(H112&gt;0,1,0)</x:f>
        <x:v>1</x:v>
      </x:c>
      <x:c r="J112" s="8" t="n">
        <x:f>H112/F112</x:f>
        <x:v>1</x:v>
      </x:c>
      <x:c r="K112" s="9" t="n">
        <x:f>IF(G112="",0,1/G112)</x:f>
        <x:v>0.25</x:v>
      </x:c>
      <x:c r="L112" s="10" t="n">
        <x:v>69.91816599838785</x:v>
      </x:c>
      <x:c r="M112" s="10" t="n">
        <x:v>70.19208299971069</x:v>
      </x:c>
      <x:c r="N112" s="10" t="n">
        <x:v>70.17808299860917</x:v>
      </x:c>
      <x:c r="O112" s="10" t="n">
        <x:f>AVERAGE(L112:N112)</x:f>
        <x:v>70.09611066556924</x:v>
      </x:c>
      <x:c r="P112" s="19" t="str">
        <x:v>5c79955f1235
7a41f9367af3
24205e65477f
9047ed5ba1da
2a551a2cc259</x:v>
      </x:c>
      <x:c r="Q112" s="19" t="str">
        <x:v>cnn_survey.pdf 第12页
attention.pdf 第7页
compression.pdf 第6页
attention.pdf 第7页
attention.pdf 第10页</x:v>
      </x:c>
    </x:row>
    <x:row r="113" ht="95" customHeight="1">
      <x:c r="A113" s="2" t="str">
        <x:v>混合检索</x:v>
      </x:c>
      <x:c r="B113" s="2" t="str">
        <x:v>attention-07-en</x:v>
      </x:c>
      <x:c r="C113" s="2" t="str">
        <x:v>en-&gt;en</x:v>
      </x:c>
      <x:c r="D113" s="2" t="str">
        <x:v>attention</x:v>
      </x:c>
      <x:c r="E113" s="19" t="str">
        <x:v>What are the English-French training corpus size and vocabulary size in Attention Is All You Need?</x:v>
      </x:c>
      <x:c r="F113" s="7" t="n">
        <x:v>1</x:v>
      </x:c>
      <x:c r="G113" s="7" t="n">
        <x:v>2</x:v>
      </x:c>
      <x:c r="H113" s="7" t="n">
        <x:v>1</x:v>
      </x:c>
      <x:c r="I113" s="20" t="n">
        <x:f>IF(H113&gt;0,1,0)</x:f>
        <x:v>1</x:v>
      </x:c>
      <x:c r="J113" s="8" t="n">
        <x:f>H113/F113</x:f>
        <x:v>1</x:v>
      </x:c>
      <x:c r="K113" s="9" t="n">
        <x:f>IF(G113="",0,1/G113)</x:f>
        <x:v>0.5</x:v>
      </x:c>
      <x:c r="L113" s="10" t="n">
        <x:v>70.78733399976045</x:v>
      </x:c>
      <x:c r="M113" s="10" t="n">
        <x:v>71.64195800214657</x:v>
      </x:c>
      <x:c r="N113" s="10" t="n">
        <x:v>71.38849999682861</x:v>
      </x:c>
      <x:c r="O113" s="10" t="n">
        <x:f>AVERAGE(L113:N113)</x:f>
        <x:v>71.27259733291187</x:v>
      </x:c>
      <x:c r="P113" s="19" t="str">
        <x:v>3eaef451b505
9047ed5ba1da
9a42ec0d16c8
e667ca60ae65
076b3f1b7521</x:v>
      </x:c>
      <x:c r="Q113" s="19" t="str">
        <x:v>bert.pdf 第5页
attention.pdf 第7页
attention.pdf 第8页
attention.pdf 第1页
attention.pdf 第9页</x:v>
      </x:c>
    </x:row>
    <x:row r="114" ht="95" customHeight="1">
      <x:c r="A114" s="2" t="str">
        <x:v>混合检索</x:v>
      </x:c>
      <x:c r="B114" s="2" t="str">
        <x:v>attention-08-zh</x:v>
      </x:c>
      <x:c r="C114" s="2" t="str">
        <x:v>zh-&gt;en</x:v>
      </x:c>
      <x:c r="D114" s="2" t="str">
        <x:v>attention</x:v>
      </x:c>
      <x:c r="E114" s="19" t="str">
        <x:v>原始Transformer的子层输出如何结合残差连接与归一化？</x:v>
      </x:c>
      <x:c r="F114" s="7" t="n">
        <x:v>1</x:v>
      </x:c>
      <x:c r="G114" s="7"/>
      <x:c r="H114" s="7" t="n">
        <x:v>0</x:v>
      </x:c>
      <x:c r="I114" s="20" t="n">
        <x:f>IF(H114&gt;0,1,0)</x:f>
        <x:v>0</x:v>
      </x:c>
      <x:c r="J114" s="8" t="n">
        <x:f>H114/F114</x:f>
        <x:v>0</x:v>
      </x:c>
      <x:c r="K114" s="9" t="n">
        <x:f>IF(G114="",0,1/G114)</x:f>
        <x:v>0</x:v>
      </x:c>
      <x:c r="L114" s="10" t="n">
        <x:v>70.58366699857288</x:v>
      </x:c>
      <x:c r="M114" s="10" t="n">
        <x:v>68.00545799706015</x:v>
      </x:c>
      <x:c r="N114" s="10" t="n">
        <x:v>67.06191599732847</x:v>
      </x:c>
      <x:c r="O114" s="10" t="n">
        <x:f>AVERAGE(L114:N114)</x:f>
        <x:v>68.55034699765383</x:v>
      </x:c>
      <x:c r="P114" s="19" t="str">
        <x:v>62413fdcc435
caf41a180249
1ac4c718865d
132453b8955b
6e11ec046b73</x:v>
      </x:c>
      <x:c r="Q114" s="19" t="str">
        <x:v>vision_survey.pdf 第3页
cnn_survey.pdf 第12页
vision_survey.pdf 第5页
vision_survey.pdf 第12页
cnn_survey.pdf 第7页</x:v>
      </x:c>
    </x:row>
    <x:row r="115" ht="95" customHeight="1">
      <x:c r="A115" s="2" t="str">
        <x:v>混合检索</x:v>
      </x:c>
      <x:c r="B115" s="2" t="str">
        <x:v>attention-08-en</x:v>
      </x:c>
      <x:c r="C115" s="2" t="str">
        <x:v>en-&gt;en</x:v>
      </x:c>
      <x:c r="D115" s="2" t="str">
        <x:v>attention</x:v>
      </x:c>
      <x:c r="E115" s="19" t="str">
        <x:v>How are residual connections and normalization combined around sublayers in the original Transformer?</x:v>
      </x:c>
      <x:c r="F115" s="7" t="n">
        <x:v>1</x:v>
      </x:c>
      <x:c r="G115" s="7" t="n">
        <x:v>1</x:v>
      </x:c>
      <x:c r="H115" s="7" t="n">
        <x:v>1</x:v>
      </x:c>
      <x:c r="I115" s="20" t="n">
        <x:f>IF(H115&gt;0,1,0)</x:f>
        <x:v>1</x:v>
      </x:c>
      <x:c r="J115" s="8" t="n">
        <x:f>H115/F115</x:f>
        <x:v>1</x:v>
      </x:c>
      <x:c r="K115" s="9" t="n">
        <x:f>IF(G115="",0,1/G115)</x:f>
        <x:v>1</x:v>
      </x:c>
      <x:c r="L115" s="10" t="n">
        <x:v>70.3562079979747</x:v>
      </x:c>
      <x:c r="M115" s="10" t="n">
        <x:v>69.92808299764874</x:v>
      </x:c>
      <x:c r="N115" s="10" t="n">
        <x:v>71.44391700057895</x:v>
      </x:c>
      <x:c r="O115" s="10" t="n">
        <x:f>AVERAGE(L115:N115)</x:f>
        <x:v>70.57606933206746</x:v>
      </x:c>
      <x:c r="P115" s="19" t="str">
        <x:v>3886ea477e1a
061049af4729
0f68818744e4
46736c1e1447
f87b2b81f67d</x:v>
      </x:c>
      <x:c r="Q115" s="19" t="str">
        <x:v>attention.pdf 第3页
attention.pdf 第8页
vit.pdf 第3页
vit.pdf 第5页
vit.pdf 第16页</x:v>
      </x:c>
    </x:row>
    <x:row r="116" ht="95" customHeight="1">
      <x:c r="A116" s="2" t="str">
        <x:v>混合检索</x:v>
      </x:c>
      <x:c r="B116" s="2" t="str">
        <x:v>bert-01-zh</x:v>
      </x:c>
      <x:c r="C116" s="2" t="str">
        <x:v>zh-&gt;en</x:v>
      </x:c>
      <x:c r="D116" s="2" t="str">
        <x:v>bert</x:v>
      </x:c>
      <x:c r="E116" s="19" t="str">
        <x:v>BERT-base和BERT-large分别有多少层、隐藏维度和注意力头？</x:v>
      </x:c>
      <x:c r="F116" s="7" t="n">
        <x:v>1</x:v>
      </x:c>
      <x:c r="G116" s="7"/>
      <x:c r="H116" s="7" t="n">
        <x:v>0</x:v>
      </x:c>
      <x:c r="I116" s="20" t="n">
        <x:f>IF(H116&gt;0,1,0)</x:f>
        <x:v>0</x:v>
      </x:c>
      <x:c r="J116" s="8" t="n">
        <x:f>H116/F116</x:f>
        <x:v>0</x:v>
      </x:c>
      <x:c r="K116" s="9" t="n">
        <x:f>IF(G116="",0,1/G116)</x:f>
        <x:v>0</x:v>
      </x:c>
      <x:c r="L116" s="10" t="n">
        <x:v>69.46837499708636</x:v>
      </x:c>
      <x:c r="M116" s="10" t="n">
        <x:v>68.25154200123507</x:v>
      </x:c>
      <x:c r="N116" s="10" t="n">
        <x:v>69.04045800183667</x:v>
      </x:c>
      <x:c r="O116" s="10" t="n">
        <x:f>AVERAGE(L116:N116)</x:f>
        <x:v>68.92012500005269</x:v>
      </x:c>
      <x:c r="P116" s="19" t="str">
        <x:v>40dfdb1c2e9f
f2d7f5316027
101db84f6127
4ee4a24a628e
b961d9124883</x:v>
      </x:c>
      <x:c r="Q116" s="19" t="str">
        <x:v>vision_survey.pdf 第7页
vision_survey.pdf 第7页
bert.pdf 第6页
vision_survey.pdf 第3页
vision_survey.pdf 第9页</x:v>
      </x:c>
    </x:row>
    <x:row r="117" ht="95" customHeight="1">
      <x:c r="A117" s="2" t="str">
        <x:v>混合检索</x:v>
      </x:c>
      <x:c r="B117" s="2" t="str">
        <x:v>bert-01-en</x:v>
      </x:c>
      <x:c r="C117" s="2" t="str">
        <x:v>en-&gt;en</x:v>
      </x:c>
      <x:c r="D117" s="2" t="str">
        <x:v>bert</x:v>
      </x:c>
      <x:c r="E117" s="19" t="str">
        <x:v>What are the layer counts, hidden sizes, and attention head counts of BERT-base and BERT-large?</x:v>
      </x:c>
      <x:c r="F117" s="7" t="n">
        <x:v>1</x:v>
      </x:c>
      <x:c r="G117" s="7" t="n">
        <x:v>1</x:v>
      </x:c>
      <x:c r="H117" s="7" t="n">
        <x:v>1</x:v>
      </x:c>
      <x:c r="I117" s="20" t="n">
        <x:f>IF(H117&gt;0,1,0)</x:f>
        <x:v>1</x:v>
      </x:c>
      <x:c r="J117" s="8" t="n">
        <x:f>H117/F117</x:f>
        <x:v>1</x:v>
      </x:c>
      <x:c r="K117" s="9" t="n">
        <x:f>IF(G117="",0,1/G117)</x:f>
        <x:v>1</x:v>
      </x:c>
      <x:c r="L117" s="10" t="n">
        <x:v>72.31879200116964</x:v>
      </x:c>
      <x:c r="M117" s="10" t="n">
        <x:v>71.19450000027427</x:v>
      </x:c>
      <x:c r="N117" s="10" t="n">
        <x:v>73.95091600119486</x:v>
      </x:c>
      <x:c r="O117" s="10" t="n">
        <x:f>AVERAGE(L117:N117)</x:f>
        <x:v>72.48806933421292</x:v>
      </x:c>
      <x:c r="P117" s="19" t="str">
        <x:v>33c362adeeae
a2ca82d82b71
d438b43e1bcd
101db84f6127
672641153168</x:v>
      </x:c>
      <x:c r="Q117" s="19" t="str">
        <x:v>bert.pdf 第3页
bert.pdf 第9页
bert.pdf 第8页
bert.pdf 第6页
bert.pdf 第6页</x:v>
      </x:c>
    </x:row>
    <x:row r="118" ht="95" customHeight="1">
      <x:c r="A118" s="2" t="str">
        <x:v>混合检索</x:v>
      </x:c>
      <x:c r="B118" s="2" t="str">
        <x:v>bert-02-zh</x:v>
      </x:c>
      <x:c r="C118" s="2" t="str">
        <x:v>zh-&gt;en</x:v>
      </x:c>
      <x:c r="D118" s="2" t="str">
        <x:v>bert</x:v>
      </x:c>
      <x:c r="E118" s="19" t="str">
        <x:v>BERT采用什么分词表示及多大的词表？</x:v>
      </x:c>
      <x:c r="F118" s="7" t="n">
        <x:v>1</x:v>
      </x:c>
      <x:c r="G118" s="7"/>
      <x:c r="H118" s="7" t="n">
        <x:v>0</x:v>
      </x:c>
      <x:c r="I118" s="20" t="n">
        <x:f>IF(H118&gt;0,1,0)</x:f>
        <x:v>0</x:v>
      </x:c>
      <x:c r="J118" s="8" t="n">
        <x:f>H118/F118</x:f>
        <x:v>0</x:v>
      </x:c>
      <x:c r="K118" s="9" t="n">
        <x:f>IF(G118="",0,1/G118)</x:f>
        <x:v>0</x:v>
      </x:c>
      <x:c r="L118" s="10" t="n">
        <x:v>69.91520899828174</x:v>
      </x:c>
      <x:c r="M118" s="10" t="n">
        <x:v>114.55170800036285</x:v>
      </x:c>
      <x:c r="N118" s="10" t="n">
        <x:v>68.29166699753841</x:v>
      </x:c>
      <x:c r="O118" s="10" t="n">
        <x:f>AVERAGE(L118:N118)</x:f>
        <x:v>84.252861332061</x:v>
      </x:c>
      <x:c r="P118" s="19" t="str">
        <x:v>36bcd9a8b40b
6b9fb5b55ed5
200f791f11fd
3f7d9e881637
22799dc751ee</x:v>
      </x:c>
      <x:c r="Q118" s="19" t="str">
        <x:v>vision_survey.pdf 第7页
bert.pdf 第14页
bert.pdf 第15页
vision_survey.pdf 第12页
bert.pdf 第15页</x:v>
      </x:c>
    </x:row>
    <x:row r="119" ht="95" customHeight="1">
      <x:c r="A119" s="2" t="str">
        <x:v>混合检索</x:v>
      </x:c>
      <x:c r="B119" s="2" t="str">
        <x:v>bert-02-en</x:v>
      </x:c>
      <x:c r="C119" s="2" t="str">
        <x:v>en-&gt;en</x:v>
      </x:c>
      <x:c r="D119" s="2" t="str">
        <x:v>bert</x:v>
      </x:c>
      <x:c r="E119" s="19" t="str">
        <x:v>Which token representation does BERT use and how large is its vocabulary?</x:v>
      </x:c>
      <x:c r="F119" s="7" t="n">
        <x:v>1</x:v>
      </x:c>
      <x:c r="G119" s="7" t="n">
        <x:v>1</x:v>
      </x:c>
      <x:c r="H119" s="7" t="n">
        <x:v>1</x:v>
      </x:c>
      <x:c r="I119" s="20" t="n">
        <x:f>IF(H119&gt;0,1,0)</x:f>
        <x:v>1</x:v>
      </x:c>
      <x:c r="J119" s="8" t="n">
        <x:f>H119/F119</x:f>
        <x:v>1</x:v>
      </x:c>
      <x:c r="K119" s="9" t="n">
        <x:f>IF(G119="",0,1/G119)</x:f>
        <x:v>1</x:v>
      </x:c>
      <x:c r="L119" s="10" t="n">
        <x:v>67.62174999676063</x:v>
      </x:c>
      <x:c r="M119" s="10" t="n">
        <x:v>66.16583399954834</x:v>
      </x:c>
      <x:c r="N119" s="10" t="n">
        <x:v>66.84395800039056</x:v>
      </x:c>
      <x:c r="O119" s="10" t="n">
        <x:f>AVERAGE(L119:N119)</x:f>
        <x:v>66.87718066556651</x:v>
      </x:c>
      <x:c r="P119" s="19" t="str">
        <x:v>e9341b201c3a
6b9fb5b55ed5
da747c81d585
f106e1ebcbfa
a2ca82d82b71</x:v>
      </x:c>
      <x:c r="Q119" s="19" t="str">
        <x:v>bert.pdf 第4页
bert.pdf 第14页
bert.pdf 第4页
bert.pdf 第2页
bert.pdf 第9页</x:v>
      </x:c>
    </x:row>
    <x:row r="120" ht="95" customHeight="1">
      <x:c r="A120" s="2" t="str">
        <x:v>混合检索</x:v>
      </x:c>
      <x:c r="B120" s="2" t="str">
        <x:v>bert-03-zh</x:v>
      </x:c>
      <x:c r="C120" s="2" t="str">
        <x:v>zh-&gt;en</x:v>
      </x:c>
      <x:c r="D120" s="2" t="str">
        <x:v>bert</x:v>
      </x:c>
      <x:c r="E120" s="19" t="str">
        <x:v>BERT掩码语言模型选取多大比例的词元用于预测？</x:v>
      </x:c>
      <x:c r="F120" s="7" t="n">
        <x:v>1</x:v>
      </x:c>
      <x:c r="G120" s="7"/>
      <x:c r="H120" s="7" t="n">
        <x:v>0</x:v>
      </x:c>
      <x:c r="I120" s="20" t="n">
        <x:f>IF(H120&gt;0,1,0)</x:f>
        <x:v>0</x:v>
      </x:c>
      <x:c r="J120" s="8" t="n">
        <x:f>H120/F120</x:f>
        <x:v>0</x:v>
      </x:c>
      <x:c r="K120" s="9" t="n">
        <x:f>IF(G120="",0,1/G120)</x:f>
        <x:v>0</x:v>
      </x:c>
      <x:c r="L120" s="10" t="n">
        <x:v>64.32591599877924</x:v>
      </x:c>
      <x:c r="M120" s="10" t="n">
        <x:v>68.35983299970394</x:v>
      </x:c>
      <x:c r="N120" s="10" t="n">
        <x:v>65.06862500100397</x:v>
      </x:c>
      <x:c r="O120" s="10" t="n">
        <x:f>AVERAGE(L120:N120)</x:f>
        <x:v>65.91812466649571</x:v>
      </x:c>
      <x:c r="P120" s="19" t="str">
        <x:v>1ec2c7d64315
e7dea37c0f03
076b3f1b7521
e56172371f2e
a011ab3c992d</x:v>
      </x:c>
      <x:c r="Q120" s="19" t="str">
        <x:v>vision_survey.pdf 第18页
bert.pdf 第9页
attention.pdf 第9页
vision_survey.pdf 第18页
bert.pdf 第1页</x:v>
      </x:c>
    </x:row>
    <x:row r="121" ht="95" customHeight="1">
      <x:c r="A121" s="2" t="str">
        <x:v>混合检索</x:v>
      </x:c>
      <x:c r="B121" s="2" t="str">
        <x:v>bert-03-en</x:v>
      </x:c>
      <x:c r="C121" s="2" t="str">
        <x:v>en-&gt;en</x:v>
      </x:c>
      <x:c r="D121" s="2" t="str">
        <x:v>bert</x:v>
      </x:c>
      <x:c r="E121" s="19" t="str">
        <x:v>What proportion of tokens is selected for prediction in BERT masked language modeling?</x:v>
      </x:c>
      <x:c r="F121" s="7" t="n">
        <x:v>1</x:v>
      </x:c>
      <x:c r="G121" s="7"/>
      <x:c r="H121" s="7" t="n">
        <x:v>0</x:v>
      </x:c>
      <x:c r="I121" s="20" t="n">
        <x:f>IF(H121&gt;0,1,0)</x:f>
        <x:v>0</x:v>
      </x:c>
      <x:c r="J121" s="8" t="n">
        <x:f>H121/F121</x:f>
        <x:v>0</x:v>
      </x:c>
      <x:c r="K121" s="9" t="n">
        <x:f>IF(G121="",0,1/G121)</x:f>
        <x:v>0</x:v>
      </x:c>
      <x:c r="L121" s="10" t="n">
        <x:v>66.57191600243095</x:v>
      </x:c>
      <x:c r="M121" s="10" t="n">
        <x:v>63.59970799894654</x:v>
      </x:c>
      <x:c r="N121" s="10" t="n">
        <x:v>64.69504199776566</x:v>
      </x:c>
      <x:c r="O121" s="10" t="n">
        <x:f>AVERAGE(L121:N121)</x:f>
        <x:v>64.95555533304771</x:v>
      </x:c>
      <x:c r="P121" s="19" t="str">
        <x:v>1c9c1a798c6f
b081197273f9
4e6906140b7f
d424e63fbb7f
4153e401fad4</x:v>
      </x:c>
      <x:c r="Q121" s="19" t="str">
        <x:v>bert.pdf 第16页
bert.pdf 第12页
bert.pdf 第1页
bert.pdf 第2页
vit.pdf 第9页</x:v>
      </x:c>
    </x:row>
    <x:row r="122" ht="95" customHeight="1">
      <x:c r="A122" s="2" t="str">
        <x:v>混合检索</x:v>
      </x:c>
      <x:c r="B122" s="2" t="str">
        <x:v>bert-04-zh</x:v>
      </x:c>
      <x:c r="C122" s="2" t="str">
        <x:v>zh-&gt;en</x:v>
      </x:c>
      <x:c r="D122" s="2" t="str">
        <x:v>bert</x:v>
      </x:c>
      <x:c r="E122" s="19" t="str">
        <x:v>BERT被选中的词元分别如何替换，三种情况比例是多少？</x:v>
      </x:c>
      <x:c r="F122" s="7" t="n">
        <x:v>1</x:v>
      </x:c>
      <x:c r="G122" s="7"/>
      <x:c r="H122" s="7" t="n">
        <x:v>0</x:v>
      </x:c>
      <x:c r="I122" s="20" t="n">
        <x:f>IF(H122&gt;0,1,0)</x:f>
        <x:v>0</x:v>
      </x:c>
      <x:c r="J122" s="8" t="n">
        <x:f>H122/F122</x:f>
        <x:v>0</x:v>
      </x:c>
      <x:c r="K122" s="9" t="n">
        <x:f>IF(G122="",0,1/G122)</x:f>
        <x:v>0</x:v>
      </x:c>
      <x:c r="L122" s="10" t="n">
        <x:v>70.3344579997065</x:v>
      </x:c>
      <x:c r="M122" s="10" t="n">
        <x:v>69.7865419970185</x:v>
      </x:c>
      <x:c r="N122" s="10" t="n">
        <x:v>68.76533399918117</x:v>
      </x:c>
      <x:c r="O122" s="10" t="n">
        <x:f>AVERAGE(L122:N122)</x:f>
        <x:v>69.62877799863539</x:v>
      </x:c>
      <x:c r="P122" s="19" t="str">
        <x:v>200f791f11fd
808fa65a97b9
6b9fb5b55ed5
ca6be3e1cd5f
22799dc751ee</x:v>
      </x:c>
      <x:c r="Q122" s="19" t="str">
        <x:v>bert.pdf 第15页
cnn_survey.pdf 第13页
bert.pdf 第14页
vision_survey.pdf 第9页
bert.pdf 第15页</x:v>
      </x:c>
    </x:row>
    <x:row r="123" ht="95" customHeight="1">
      <x:c r="A123" s="2" t="str">
        <x:v>混合检索</x:v>
      </x:c>
      <x:c r="B123" s="2" t="str">
        <x:v>bert-04-en</x:v>
      </x:c>
      <x:c r="C123" s="2" t="str">
        <x:v>en-&gt;en</x:v>
      </x:c>
      <x:c r="D123" s="2" t="str">
        <x:v>bert</x:v>
      </x:c>
      <x:c r="E123" s="19" t="str">
        <x:v>How are selected BERT tokens replaced, and what are the proportions of the three cases?</x:v>
      </x:c>
      <x:c r="F123" s="7" t="n">
        <x:v>1</x:v>
      </x:c>
      <x:c r="G123" s="7"/>
      <x:c r="H123" s="7" t="n">
        <x:v>0</x:v>
      </x:c>
      <x:c r="I123" s="20" t="n">
        <x:f>IF(H123&gt;0,1,0)</x:f>
        <x:v>0</x:v>
      </x:c>
      <x:c r="J123" s="8" t="n">
        <x:f>H123/F123</x:f>
        <x:v>0</x:v>
      </x:c>
      <x:c r="K123" s="9" t="n">
        <x:f>IF(G123="",0,1/G123)</x:f>
        <x:v>0</x:v>
      </x:c>
      <x:c r="L123" s="10" t="n">
        <x:v>67.08754200008116</x:v>
      </x:c>
      <x:c r="M123" s="10" t="n">
        <x:v>68.88316699769348</x:v>
      </x:c>
      <x:c r="N123" s="10" t="n">
        <x:v>66.52620900058537</x:v>
      </x:c>
      <x:c r="O123" s="10" t="n">
        <x:f>AVERAGE(L123:N123)</x:f>
        <x:v>67.49897266612</x:v>
      </x:c>
      <x:c r="P123" s="19" t="str">
        <x:v>b7a5603bef58
672641153168
0b0a91188330
ecc9b344943d
f43dd541cc49</x:v>
      </x:c>
      <x:c r="Q123" s="19" t="str">
        <x:v>bert.pdf 第14页
bert.pdf 第6页
vit.pdf 第17页
vit.pdf 第5页
bert.pdf 第16页</x:v>
      </x:c>
    </x:row>
    <x:row r="124" ht="95" customHeight="1">
      <x:c r="A124" s="2" t="str">
        <x:v>混合检索</x:v>
      </x:c>
      <x:c r="B124" s="2" t="str">
        <x:v>bert-05-zh</x:v>
      </x:c>
      <x:c r="C124" s="2" t="str">
        <x:v>zh-&gt;en</x:v>
      </x:c>
      <x:c r="D124" s="2" t="str">
        <x:v>bert</x:v>
      </x:c>
      <x:c r="E124" s="19" t="str">
        <x:v>BERT下一句预测中真实下一句和随机句各占多少？</x:v>
      </x:c>
      <x:c r="F124" s="7" t="n">
        <x:v>1</x:v>
      </x:c>
      <x:c r="G124" s="7"/>
      <x:c r="H124" s="7" t="n">
        <x:v>0</x:v>
      </x:c>
      <x:c r="I124" s="20" t="n">
        <x:f>IF(H124&gt;0,1,0)</x:f>
        <x:v>0</x:v>
      </x:c>
      <x:c r="J124" s="8" t="n">
        <x:f>H124/F124</x:f>
        <x:v>0</x:v>
      </x:c>
      <x:c r="K124" s="9" t="n">
        <x:f>IF(G124="",0,1/G124)</x:f>
        <x:v>0</x:v>
      </x:c>
      <x:c r="L124" s="10" t="n">
        <x:v>63.44566600091639</x:v>
      </x:c>
      <x:c r="M124" s="10" t="n">
        <x:v>64.46491699898615</x:v>
      </x:c>
      <x:c r="N124" s="10" t="n">
        <x:v>69.88179100153502</x:v>
      </x:c>
      <x:c r="O124" s="10" t="n">
        <x:f>AVERAGE(L124:N124)</x:f>
        <x:v>65.93079133381252</x:v>
      </x:c>
      <x:c r="P124" s="19" t="str">
        <x:v>164a68ba9cb5
766b9020aea0
1ec2c7d64315
22799dc751ee
552293d11a74</x:v>
      </x:c>
      <x:c r="Q124" s="19" t="str">
        <x:v>bert.pdf 第13页
compression.pdf 第2页
vision_survey.pdf 第18页
bert.pdf 第15页
vision_survey.pdf 第13页</x:v>
      </x:c>
    </x:row>
    <x:row r="125" ht="95" customHeight="1">
      <x:c r="A125" s="2" t="str">
        <x:v>混合检索</x:v>
      </x:c>
      <x:c r="B125" s="2" t="str">
        <x:v>bert-05-en</x:v>
      </x:c>
      <x:c r="C125" s="2" t="str">
        <x:v>en-&gt;en</x:v>
      </x:c>
      <x:c r="D125" s="2" t="str">
        <x:v>bert</x:v>
      </x:c>
      <x:c r="E125" s="19" t="str">
        <x:v>What are the proportions of actual next sentences and random sentences in BERT next sentence prediction?</x:v>
      </x:c>
      <x:c r="F125" s="7" t="n">
        <x:v>1</x:v>
      </x:c>
      <x:c r="G125" s="7" t="n">
        <x:v>2</x:v>
      </x:c>
      <x:c r="H125" s="7" t="n">
        <x:v>1</x:v>
      </x:c>
      <x:c r="I125" s="20" t="n">
        <x:f>IF(H125&gt;0,1,0)</x:f>
        <x:v>1</x:v>
      </x:c>
      <x:c r="J125" s="8" t="n">
        <x:f>H125/F125</x:f>
        <x:v>1</x:v>
      </x:c>
      <x:c r="K125" s="9" t="n">
        <x:f>IF(G125="",0,1/G125)</x:f>
        <x:v>0.5</x:v>
      </x:c>
      <x:c r="L125" s="10" t="n">
        <x:v>70.80295800187741</x:v>
      </x:c>
      <x:c r="M125" s="10" t="n">
        <x:v>67.35016599850496</x:v>
      </x:c>
      <x:c r="N125" s="10" t="n">
        <x:v>71.35145800202736</x:v>
      </x:c>
      <x:c r="O125" s="10" t="n">
        <x:f>AVERAGE(L125:N125)</x:f>
        <x:v>69.83486066746991</x:v>
      </x:c>
      <x:c r="P125" s="19" t="str">
        <x:v>164a68ba9cb5
69abe70f76fa
da747c81d585
13004a38bb2d
5d0a6020f091</x:v>
      </x:c>
      <x:c r="Q125" s="19" t="str">
        <x:v>bert.pdf 第13页
bert.pdf 第4页
bert.pdf 第4页
bert.pdf 第2页
bert.pdf 第5页</x:v>
      </x:c>
    </x:row>
    <x:row r="126" ht="95" customHeight="1">
      <x:c r="A126" s="2" t="str">
        <x:v>混合检索</x:v>
      </x:c>
      <x:c r="B126" s="2" t="str">
        <x:v>bert-06-zh</x:v>
      </x:c>
      <x:c r="C126" s="2" t="str">
        <x:v>zh-&gt;en</x:v>
      </x:c>
      <x:c r="D126" s="2" t="str">
        <x:v>bert</x:v>
      </x:c>
      <x:c r="E126" s="19" t="str">
        <x:v>BERT预训练使用哪两个语料，它们各有多少词？</x:v>
      </x:c>
      <x:c r="F126" s="7" t="n">
        <x:v>2</x:v>
      </x:c>
      <x:c r="G126" s="7" t="n">
        <x:v>1</x:v>
      </x:c>
      <x:c r="H126" s="7" t="n">
        <x:v>2</x:v>
      </x:c>
      <x:c r="I126" s="20" t="n">
        <x:f>IF(H126&gt;0,1,0)</x:f>
        <x:v>1</x:v>
      </x:c>
      <x:c r="J126" s="8" t="n">
        <x:f>H126/F126</x:f>
        <x:v>1</x:v>
      </x:c>
      <x:c r="K126" s="9" t="n">
        <x:f>IF(G126="",0,1/G126)</x:f>
        <x:v>1</x:v>
      </x:c>
      <x:c r="L126" s="10" t="n">
        <x:v>68.31479099855642</x:v>
      </x:c>
      <x:c r="M126" s="10" t="n">
        <x:v>65.31241599805071</x:v>
      </x:c>
      <x:c r="N126" s="10" t="n">
        <x:v>69.29079199835542</x:v>
      </x:c>
      <x:c r="O126" s="10" t="n">
        <x:f>AVERAGE(L126:N126)</x:f>
        <x:v>67.63933299832085</x:v>
      </x:c>
      <x:c r="P126" s="19" t="str">
        <x:v>6b9fb5b55ed5
7965625f6be4
3eaef451b505
e9a22901773e
bd8883207095</x:v>
      </x:c>
      <x:c r="Q126" s="19" t="str">
        <x:v>bert.pdf 第14页
cnn_survey.pdf 第18页
bert.pdf 第5页
cnn_survey.pdf 第9页
cnn_survey.pdf 第10页</x:v>
      </x:c>
    </x:row>
    <x:row r="127" ht="95" customHeight="1">
      <x:c r="A127" s="2" t="str">
        <x:v>混合检索</x:v>
      </x:c>
      <x:c r="B127" s="2" t="str">
        <x:v>bert-06-en</x:v>
      </x:c>
      <x:c r="C127" s="2" t="str">
        <x:v>en-&gt;en</x:v>
      </x:c>
      <x:c r="D127" s="2" t="str">
        <x:v>bert</x:v>
      </x:c>
      <x:c r="E127" s="19" t="str">
        <x:v>Which two corpora are used to pre-train BERT, and how many words does each contain?</x:v>
      </x:c>
      <x:c r="F127" s="7" t="n">
        <x:v>2</x:v>
      </x:c>
      <x:c r="G127" s="7" t="n">
        <x:v>1</x:v>
      </x:c>
      <x:c r="H127" s="7" t="n">
        <x:v>1</x:v>
      </x:c>
      <x:c r="I127" s="20" t="n">
        <x:f>IF(H127&gt;0,1,0)</x:f>
        <x:v>1</x:v>
      </x:c>
      <x:c r="J127" s="8" t="n">
        <x:f>H127/F127</x:f>
        <x:v>0.5</x:v>
      </x:c>
      <x:c r="K127" s="9" t="n">
        <x:f>IF(G127="",0,1/G127)</x:f>
        <x:v>1</x:v>
      </x:c>
      <x:c r="L127" s="10" t="n">
        <x:v>68.42374999905587</x:v>
      </x:c>
      <x:c r="M127" s="10" t="n">
        <x:v>69.24779200198827</x:v>
      </x:c>
      <x:c r="N127" s="10" t="n">
        <x:v>72.14833299804013</x:v>
      </x:c>
      <x:c r="O127" s="10" t="n">
        <x:f>AVERAGE(L127:N127)</x:f>
        <x:v>69.93995833302809</x:v>
      </x:c>
      <x:c r="P127" s="19" t="str">
        <x:v>6b9fb5b55ed5
f0f230687cf8
9e1c040b694f
b9d9c270810d
b7a5603bef58</x:v>
      </x:c>
      <x:c r="Q127" s="19" t="str">
        <x:v>bert.pdf 第14页
bert.pdf 第16页
bert.pdf 第3页
bert.pdf 第4页
bert.pdf 第14页</x:v>
      </x:c>
    </x:row>
    <x:row r="128" ht="95" customHeight="1">
      <x:c r="A128" s="2" t="str">
        <x:v>混合检索</x:v>
      </x:c>
      <x:c r="B128" s="2" t="str">
        <x:v>bert-07-zh</x:v>
      </x:c>
      <x:c r="C128" s="2" t="str">
        <x:v>zh-&gt;en</x:v>
      </x:c>
      <x:c r="D128" s="2" t="str">
        <x:v>bert</x:v>
      </x:c>
      <x:c r="E128" s="19" t="str">
        <x:v>BERT预训练怎样分配短序列和长序列的训练步数？</x:v>
      </x:c>
      <x:c r="F128" s="7" t="n">
        <x:v>1</x:v>
      </x:c>
      <x:c r="G128" s="7"/>
      <x:c r="H128" s="7" t="n">
        <x:v>0</x:v>
      </x:c>
      <x:c r="I128" s="20" t="n">
        <x:f>IF(H128&gt;0,1,0)</x:f>
        <x:v>0</x:v>
      </x:c>
      <x:c r="J128" s="8" t="n">
        <x:f>H128/F128</x:f>
        <x:v>0</x:v>
      </x:c>
      <x:c r="K128" s="9" t="n">
        <x:f>IF(G128="",0,1/G128)</x:f>
        <x:v>0</x:v>
      </x:c>
      <x:c r="L128" s="10" t="n">
        <x:v>70.92924999960815</x:v>
      </x:c>
      <x:c r="M128" s="10" t="n">
        <x:v>70.79729099859833</x:v>
      </x:c>
      <x:c r="N128" s="10" t="n">
        <x:v>64.82258299729438</x:v>
      </x:c>
      <x:c r="O128" s="10" t="n">
        <x:f>AVERAGE(L128:N128)</x:f>
        <x:v>68.84970799850028</x:v>
      </x:c>
      <x:c r="P128" s="19" t="str">
        <x:v>20ab6aea8126
9e350324bc83
132453b8955b
e8ef5be7b5cc
698c31c355c8</x:v>
      </x:c>
      <x:c r="Q128" s="19" t="str">
        <x:v>bert.pdf 第12页
vision_survey.pdf 第1页
vision_survey.pdf 第12页
bert.pdf 第3页
bert.pdf 第8页</x:v>
      </x:c>
    </x:row>
    <x:row r="129" ht="95" customHeight="1">
      <x:c r="A129" s="2" t="str">
        <x:v>混合检索</x:v>
      </x:c>
      <x:c r="B129" s="2" t="str">
        <x:v>bert-07-en</x:v>
      </x:c>
      <x:c r="C129" s="2" t="str">
        <x:v>en-&gt;en</x:v>
      </x:c>
      <x:c r="D129" s="2" t="str">
        <x:v>bert</x:v>
      </x:c>
      <x:c r="E129" s="19" t="str">
        <x:v>How does BERT pre-training allocate steps between short and long sequences?</x:v>
      </x:c>
      <x:c r="F129" s="7" t="n">
        <x:v>1</x:v>
      </x:c>
      <x:c r="G129" s="7"/>
      <x:c r="H129" s="7" t="n">
        <x:v>0</x:v>
      </x:c>
      <x:c r="I129" s="20" t="n">
        <x:f>IF(H129&gt;0,1,0)</x:f>
        <x:v>0</x:v>
      </x:c>
      <x:c r="J129" s="8" t="n">
        <x:f>H129/F129</x:f>
        <x:v>0</x:v>
      </x:c>
      <x:c r="K129" s="9" t="n">
        <x:f>IF(G129="",0,1/G129)</x:f>
        <x:v>0</x:v>
      </x:c>
      <x:c r="L129" s="10" t="n">
        <x:v>65.4844159980712</x:v>
      </x:c>
      <x:c r="M129" s="10" t="n">
        <x:v>69.91654100056621</x:v>
      </x:c>
      <x:c r="N129" s="10" t="n">
        <x:v>66.2914999993518</x:v>
      </x:c>
      <x:c r="O129" s="10" t="n">
        <x:f>AVERAGE(L129:N129)</x:f>
        <x:v>67.23081899932974</x:v>
      </x:c>
      <x:c r="P129" s="19" t="str">
        <x:v>7e598c50c4dc
20ab6aea8126
6b9fb5b55ed5
9e1c040b694f
f0f230687cf8</x:v>
      </x:c>
      <x:c r="Q129" s="19" t="str">
        <x:v>bert.pdf 第16页
bert.pdf 第12页
bert.pdf 第14页
bert.pdf 第3页
bert.pdf 第16页</x:v>
      </x:c>
    </x:row>
    <x:row r="130" ht="95" customHeight="1">
      <x:c r="A130" s="2" t="str">
        <x:v>混合检索</x:v>
      </x:c>
      <x:c r="B130" s="2" t="str">
        <x:v>bert-08-zh</x:v>
      </x:c>
      <x:c r="C130" s="2" t="str">
        <x:v>zh-&gt;en</x:v>
      </x:c>
      <x:c r="D130" s="2" t="str">
        <x:v>bert</x:v>
      </x:c>
      <x:c r="E130" s="19" t="str">
        <x:v>BERT微调时只训练输出层还是更新全部参数？</x:v>
      </x:c>
      <x:c r="F130" s="7" t="n">
        <x:v>1</x:v>
      </x:c>
      <x:c r="G130" s="7"/>
      <x:c r="H130" s="7" t="n">
        <x:v>0</x:v>
      </x:c>
      <x:c r="I130" s="20" t="n">
        <x:f>IF(H130&gt;0,1,0)</x:f>
        <x:v>0</x:v>
      </x:c>
      <x:c r="J130" s="8" t="n">
        <x:f>H130/F130</x:f>
        <x:v>0</x:v>
      </x:c>
      <x:c r="K130" s="9" t="n">
        <x:f>IF(G130="",0,1/G130)</x:f>
        <x:v>0</x:v>
      </x:c>
      <x:c r="L130" s="10" t="n">
        <x:v>65.8966250011872</x:v>
      </x:c>
      <x:c r="M130" s="10" t="n">
        <x:v>65.82979199811234</x:v>
      </x:c>
      <x:c r="N130" s="10" t="n">
        <x:v>68.31166600022698</x:v>
      </x:c>
      <x:c r="O130" s="10" t="n">
        <x:f>AVERAGE(L130:N130)</x:f>
        <x:v>66.67936099984217</x:v>
      </x:c>
      <x:c r="P130" s="19" t="str">
        <x:v>20ab6aea8126
709b9ccbcf13
a1c660bbd488
fba246bd83a5
e8ef5be7b5cc</x:v>
      </x:c>
      <x:c r="Q130" s="19" t="str">
        <x:v>bert.pdf 第12页
compression.pdf 第5页
cnn_survey.pdf 第10页
bert.pdf 第13页
bert.pdf 第3页</x:v>
      </x:c>
    </x:row>
    <x:row r="131" ht="95" customHeight="1">
      <x:c r="A131" s="2" t="str">
        <x:v>混合检索</x:v>
      </x:c>
      <x:c r="B131" s="2" t="str">
        <x:v>bert-08-en</x:v>
      </x:c>
      <x:c r="C131" s="2" t="str">
        <x:v>en-&gt;en</x:v>
      </x:c>
      <x:c r="D131" s="2" t="str">
        <x:v>bert</x:v>
      </x:c>
      <x:c r="E131" s="19" t="str">
        <x:v>Does BERT fine-tuning train only the output layer or update all parameters?</x:v>
      </x:c>
      <x:c r="F131" s="7" t="n">
        <x:v>1</x:v>
      </x:c>
      <x:c r="G131" s="7"/>
      <x:c r="H131" s="7" t="n">
        <x:v>0</x:v>
      </x:c>
      <x:c r="I131" s="20" t="n">
        <x:f>IF(H131&gt;0,1,0)</x:f>
        <x:v>0</x:v>
      </x:c>
      <x:c r="J131" s="8" t="n">
        <x:f>H131/F131</x:f>
        <x:v>0</x:v>
      </x:c>
      <x:c r="K131" s="9" t="n">
        <x:f>IF(G131="",0,1/G131)</x:f>
        <x:v>0</x:v>
      </x:c>
      <x:c r="L131" s="10" t="n">
        <x:v>66.84374999895226</x:v>
      </x:c>
      <x:c r="M131" s="10" t="n">
        <x:v>69.6626249991823</x:v>
      </x:c>
      <x:c r="N131" s="10" t="n">
        <x:v>69.38320799963549</x:v>
      </x:c>
      <x:c r="O131" s="10" t="n">
        <x:f>AVERAGE(L131:N131)</x:f>
        <x:v>68.62986099925668</x:v>
      </x:c>
      <x:c r="P131" s="19" t="str">
        <x:v>1da27bb98beb
a2ca82d82b71
e8ef5be7b5cc
9e1c040b694f
e6d4aa0fcce3</x:v>
      </x:c>
      <x:c r="Q131" s="19" t="str">
        <x:v>bert.pdf 第9页
bert.pdf 第9页
bert.pdf 第3页
bert.pdf 第3页
bert.pdf 第9页</x:v>
      </x:c>
    </x:row>
    <x:row r="132" ht="95" customHeight="1">
      <x:c r="A132" s="2" t="str">
        <x:v>混合检索</x:v>
      </x:c>
      <x:c r="B132" s="2" t="str">
        <x:v>vit-01-zh</x:v>
      </x:c>
      <x:c r="C132" s="2" t="str">
        <x:v>zh-&gt;en</x:v>
      </x:c>
      <x:c r="D132" s="2" t="str">
        <x:v>vit</x:v>
      </x:c>
      <x:c r="E132" s="19" t="str">
        <x:v>原始ViT怎样把图像变成Transformer的输入序列？</x:v>
      </x:c>
      <x:c r="F132" s="7" t="n">
        <x:v>3</x:v>
      </x:c>
      <x:c r="G132" s="7"/>
      <x:c r="H132" s="7" t="n">
        <x:v>0</x:v>
      </x:c>
      <x:c r="I132" s="20" t="n">
        <x:f>IF(H132&gt;0,1,0)</x:f>
        <x:v>0</x:v>
      </x:c>
      <x:c r="J132" s="8" t="n">
        <x:f>H132/F132</x:f>
        <x:v>0</x:v>
      </x:c>
      <x:c r="K132" s="9" t="n">
        <x:f>IF(G132="",0,1/G132)</x:f>
        <x:v>0</x:v>
      </x:c>
      <x:c r="L132" s="10" t="n">
        <x:v>64.55062500026543</x:v>
      </x:c>
      <x:c r="M132" s="10" t="n">
        <x:v>65.25920800049789</x:v>
      </x:c>
      <x:c r="N132" s="10" t="n">
        <x:v>64.81774999701884</x:v>
      </x:c>
      <x:c r="O132" s="10" t="n">
        <x:f>AVERAGE(L132:N132)</x:f>
        <x:v>64.87586099926072</x:v>
      </x:c>
      <x:c r="P132" s="19" t="str">
        <x:v>127d05940603
df5f4497c074
ac03dc81db60
4377c8dddb67
132453b8955b</x:v>
      </x:c>
      <x:c r="Q132" s="19" t="str">
        <x:v>vision_survey.pdf 第2页
vision_survey.pdf 第4页
vision_survey.pdf 第2页
vision_survey.pdf 第12页
vision_survey.pdf 第12页</x:v>
      </x:c>
    </x:row>
    <x:row r="133" ht="95" customHeight="1">
      <x:c r="A133" s="2" t="str">
        <x:v>混合检索</x:v>
      </x:c>
      <x:c r="B133" s="2" t="str">
        <x:v>vit-01-en</x:v>
      </x:c>
      <x:c r="C133" s="2" t="str">
        <x:v>en-&gt;en</x:v>
      </x:c>
      <x:c r="D133" s="2" t="str">
        <x:v>vit</x:v>
      </x:c>
      <x:c r="E133" s="19" t="str">
        <x:v>How does the original ViT convert an image into a Transformer input sequence?</x:v>
      </x:c>
      <x:c r="F133" s="7" t="n">
        <x:v>3</x:v>
      </x:c>
      <x:c r="G133" s="7" t="n">
        <x:v>2</x:v>
      </x:c>
      <x:c r="H133" s="7" t="n">
        <x:v>2</x:v>
      </x:c>
      <x:c r="I133" s="20" t="n">
        <x:f>IF(H133&gt;0,1,0)</x:f>
        <x:v>1</x:v>
      </x:c>
      <x:c r="J133" s="8" t="n">
        <x:f>H133/F133</x:f>
        <x:v>0.6666666666666666</x:v>
      </x:c>
      <x:c r="K133" s="9" t="n">
        <x:f>IF(G133="",0,1/G133)</x:f>
        <x:v>0.5</x:v>
      </x:c>
      <x:c r="L133" s="10" t="n">
        <x:v>65.10708299902035</x:v>
      </x:c>
      <x:c r="M133" s="10" t="n">
        <x:v>69.89045899899793</x:v>
      </x:c>
      <x:c r="N133" s="10" t="n">
        <x:v>65.88183300118544</x:v>
      </x:c>
      <x:c r="O133" s="10" t="n">
        <x:f>AVERAGE(L133:N133)</x:f>
        <x:v>66.95979166640124</x:v>
      </x:c>
      <x:c r="P133" s="19" t="str">
        <x:v>e9421d560c4a
24f092f31d91
0f68818744e4
69912204f088
655ac0da640d</x:v>
      </x:c>
      <x:c r="Q133" s="19" t="str">
        <x:v>vit.pdf 第3页
vit.pdf 第1页
vit.pdf 第3页
vit.pdf 第8页
vit.pdf 第20页</x:v>
      </x:c>
    </x:row>
    <x:row r="134" ht="95" customHeight="1">
      <x:c r="A134" s="2" t="str">
        <x:v>混合检索</x:v>
      </x:c>
      <x:c r="B134" s="2" t="str">
        <x:v>vit-02-zh</x:v>
      </x:c>
      <x:c r="C134" s="2" t="str">
        <x:v>zh-&gt;en</x:v>
      </x:c>
      <x:c r="D134" s="2" t="str">
        <x:v>vit</x:v>
      </x:c>
      <x:c r="E134" s="19" t="str">
        <x:v>原始ViT使用哪个词符的输出作为图像表示？</x:v>
      </x:c>
      <x:c r="F134" s="7" t="n">
        <x:v>1</x:v>
      </x:c>
      <x:c r="G134" s="7"/>
      <x:c r="H134" s="7" t="n">
        <x:v>0</x:v>
      </x:c>
      <x:c r="I134" s="20" t="n">
        <x:f>IF(H134&gt;0,1,0)</x:f>
        <x:v>0</x:v>
      </x:c>
      <x:c r="J134" s="8" t="n">
        <x:f>H134/F134</x:f>
        <x:v>0</x:v>
      </x:c>
      <x:c r="K134" s="9" t="n">
        <x:f>IF(G134="",0,1/G134)</x:f>
        <x:v>0</x:v>
      </x:c>
      <x:c r="L134" s="10" t="n">
        <x:v>68.0797499990149</x:v>
      </x:c>
      <x:c r="M134" s="10" t="n">
        <x:v>68.3309999985795</x:v>
      </x:c>
      <x:c r="N134" s="10" t="n">
        <x:v>64.49808299657889</x:v>
      </x:c>
      <x:c r="O134" s="10" t="n">
        <x:f>AVERAGE(L134:N134)</x:f>
        <x:v>66.96961099805776</x:v>
      </x:c>
      <x:c r="P134" s="19" t="str">
        <x:v>127d05940603
6f276f3c298f
216400db327d
2ef7c88c1608
9b691fff25d7</x:v>
      </x:c>
      <x:c r="Q134" s="19" t="str">
        <x:v>vision_survey.pdf 第2页
vision_survey.pdf 第2页
vit.pdf 第7页
vision_survey.pdf 第14页
cnn_survey.pdf 第7页</x:v>
      </x:c>
    </x:row>
    <x:row r="135" ht="95" customHeight="1">
      <x:c r="A135" s="2" t="str">
        <x:v>混合检索</x:v>
      </x:c>
      <x:c r="B135" s="2" t="str">
        <x:v>vit-02-en</x:v>
      </x:c>
      <x:c r="C135" s="2" t="str">
        <x:v>en-&gt;en</x:v>
      </x:c>
      <x:c r="D135" s="2" t="str">
        <x:v>vit</x:v>
      </x:c>
      <x:c r="E135" s="19" t="str">
        <x:v>Which token output is used as the image representation in the original ViT?</x:v>
      </x:c>
      <x:c r="F135" s="7" t="n">
        <x:v>1</x:v>
      </x:c>
      <x:c r="G135" s="7"/>
      <x:c r="H135" s="7" t="n">
        <x:v>0</x:v>
      </x:c>
      <x:c r="I135" s="20" t="n">
        <x:f>IF(H135&gt;0,1,0)</x:f>
        <x:v>0</x:v>
      </x:c>
      <x:c r="J135" s="8" t="n">
        <x:f>H135/F135</x:f>
        <x:v>0</x:v>
      </x:c>
      <x:c r="K135" s="9" t="n">
        <x:f>IF(G135="",0,1/G135)</x:f>
        <x:v>0</x:v>
      </x:c>
      <x:c r="L135" s="10" t="n">
        <x:v>65.96766700022272</x:v>
      </x:c>
      <x:c r="M135" s="10" t="n">
        <x:v>66.3180410010682</x:v>
      </x:c>
      <x:c r="N135" s="10" t="n">
        <x:v>66.23887499881675</x:v>
      </x:c>
      <x:c r="O135" s="10" t="n">
        <x:f>AVERAGE(L135:N135)</x:f>
        <x:v>66.17486100003589</x:v>
      </x:c>
      <x:c r="P135" s="19" t="str">
        <x:v>260dae2cb298
e9421d560c4a
e130dcce483a
6d60780ea120
3ab7dcacf635</x:v>
      </x:c>
      <x:c r="Q135" s="19" t="str">
        <x:v>vit.pdf 第16页
vit.pdf 第3页
vit.pdf 第20页
vit.pdf 第8页
bert.pdf 第4页</x:v>
      </x:c>
    </x:row>
    <x:row r="136" ht="95" customHeight="1">
      <x:c r="A136" s="2" t="str">
        <x:v>混合检索</x:v>
      </x:c>
      <x:c r="B136" s="2" t="str">
        <x:v>vit-03-zh</x:v>
      </x:c>
      <x:c r="C136" s="2" t="str">
        <x:v>zh-&gt;en</x:v>
      </x:c>
      <x:c r="D136" s="2" t="str">
        <x:v>vit</x:v>
      </x:c>
      <x:c r="E136" s="19" t="str">
        <x:v>原始ViT采用可学习的一维还是二维位置嵌入，为什么？</x:v>
      </x:c>
      <x:c r="F136" s="7" t="n">
        <x:v>1</x:v>
      </x:c>
      <x:c r="G136" s="7"/>
      <x:c r="H136" s="7" t="n">
        <x:v>0</x:v>
      </x:c>
      <x:c r="I136" s="20" t="n">
        <x:f>IF(H136&gt;0,1,0)</x:f>
        <x:v>0</x:v>
      </x:c>
      <x:c r="J136" s="8" t="n">
        <x:f>H136/F136</x:f>
        <x:v>0</x:v>
      </x:c>
      <x:c r="K136" s="9" t="n">
        <x:f>IF(G136="",0,1/G136)</x:f>
        <x:v>0</x:v>
      </x:c>
      <x:c r="L136" s="10" t="n">
        <x:v>70.70920900150668</x:v>
      </x:c>
      <x:c r="M136" s="10" t="n">
        <x:v>65.8694160010782</x:v>
      </x:c>
      <x:c r="N136" s="10" t="n">
        <x:v>69.49970799905714</x:v>
      </x:c>
      <x:c r="O136" s="10" t="n">
        <x:f>AVERAGE(L136:N136)</x:f>
        <x:v>68.692777667214</x:v>
      </x:c>
      <x:c r="P136" s="19" t="str">
        <x:v>127d05940603
7a8104b7b265
fe92a83a9be3
69912204f088
b45a419f3d18</x:v>
      </x:c>
      <x:c r="Q136" s="19" t="str">
        <x:v>vision_survey.pdf 第2页
vision_survey.pdf 第3页
vision_survey.pdf 第4页
vit.pdf 第8页
vision_survey.pdf 第14页</x:v>
      </x:c>
    </x:row>
    <x:row r="137" ht="95" customHeight="1">
      <x:c r="A137" s="2" t="str">
        <x:v>混合检索</x:v>
      </x:c>
      <x:c r="B137" s="2" t="str">
        <x:v>vit-03-en</x:v>
      </x:c>
      <x:c r="C137" s="2" t="str">
        <x:v>en-&gt;en</x:v>
      </x:c>
      <x:c r="D137" s="2" t="str">
        <x:v>vit</x:v>
      </x:c>
      <x:c r="E137" s="19" t="str">
        <x:v>Does the original ViT use learnable one-dimensional or two-dimensional position embeddings, and why?</x:v>
      </x:c>
      <x:c r="F137" s="7" t="n">
        <x:v>1</x:v>
      </x:c>
      <x:c r="G137" s="7" t="n">
        <x:v>1</x:v>
      </x:c>
      <x:c r="H137" s="7" t="n">
        <x:v>1</x:v>
      </x:c>
      <x:c r="I137" s="20" t="n">
        <x:f>IF(H137&gt;0,1,0)</x:f>
        <x:v>1</x:v>
      </x:c>
      <x:c r="J137" s="8" t="n">
        <x:f>H137/F137</x:f>
        <x:v>1</x:v>
      </x:c>
      <x:c r="K137" s="9" t="n">
        <x:f>IF(G137="",0,1/G137)</x:f>
        <x:v>1</x:v>
      </x:c>
      <x:c r="L137" s="10" t="n">
        <x:v>70.60812499912572</x:v>
      </x:c>
      <x:c r="M137" s="10" t="n">
        <x:v>72.41770799737424</x:v>
      </x:c>
      <x:c r="N137" s="10" t="n">
        <x:v>74.23900000139838</x:v>
      </x:c>
      <x:c r="O137" s="10" t="n">
        <x:f>AVERAGE(L137:N137)</x:f>
        <x:v>72.42161099929945</x:v>
      </x:c>
      <x:c r="P137" s="19" t="str">
        <x:v>de306f230bef
0b0a91188330
9e9acdbba6f7
8d39c0fd0ecd
ff214723956b</x:v>
      </x:c>
      <x:c r="Q137" s="19" t="str">
        <x:v>vit.pdf 第3页
vit.pdf 第17页
vit.pdf 第3页
vit.pdf 第17页
vit.pdf 第17页</x:v>
      </x:c>
    </x:row>
    <x:row r="138" ht="95" customHeight="1">
      <x:c r="A138" s="2" t="str">
        <x:v>混合检索</x:v>
      </x:c>
      <x:c r="B138" s="2" t="str">
        <x:v>vit-04-zh</x:v>
      </x:c>
      <x:c r="C138" s="2" t="str">
        <x:v>zh-&gt;en</x:v>
      </x:c>
      <x:c r="D138" s="2" t="str">
        <x:v>vit</x:v>
      </x:c>
      <x:c r="E138" s="19" t="str">
        <x:v>原始ViT与CNN相比，图像归纳偏置有哪些区别？</x:v>
      </x:c>
      <x:c r="F138" s="7" t="n">
        <x:v>1</x:v>
      </x:c>
      <x:c r="G138" s="7"/>
      <x:c r="H138" s="7" t="n">
        <x:v>0</x:v>
      </x:c>
      <x:c r="I138" s="20" t="n">
        <x:f>IF(H138&gt;0,1,0)</x:f>
        <x:v>0</x:v>
      </x:c>
      <x:c r="J138" s="8" t="n">
        <x:f>H138/F138</x:f>
        <x:v>0</x:v>
      </x:c>
      <x:c r="K138" s="9" t="n">
        <x:f>IF(G138="",0,1/G138)</x:f>
        <x:v>0</x:v>
      </x:c>
      <x:c r="L138" s="10" t="n">
        <x:v>66.43800000165356</x:v>
      </x:c>
      <x:c r="M138" s="10" t="n">
        <x:v>68.39300000137882</x:v>
      </x:c>
      <x:c r="N138" s="10" t="n">
        <x:v>70.34579100218252</x:v>
      </x:c>
      <x:c r="O138" s="10" t="n">
        <x:f>AVERAGE(L138:N138)</x:f>
        <x:v>68.39226366840496</x:v>
      </x:c>
      <x:c r="P138" s="19" t="str">
        <x:v>fe92a83a9be3
40dfdb1c2e9f
ac03dc81db60
7806d9463e35
b2c5ca4a2c2d</x:v>
      </x:c>
      <x:c r="Q138" s="19" t="str">
        <x:v>vision_survey.pdf 第4页
vision_survey.pdf 第7页
vision_survey.pdf 第2页
vision_survey.pdf 第4页
vit.pdf 第2页</x:v>
      </x:c>
    </x:row>
    <x:row r="139" ht="95" customHeight="1">
      <x:c r="A139" s="2" t="str">
        <x:v>混合检索</x:v>
      </x:c>
      <x:c r="B139" s="2" t="str">
        <x:v>vit-04-en</x:v>
      </x:c>
      <x:c r="C139" s="2" t="str">
        <x:v>en-&gt;en</x:v>
      </x:c>
      <x:c r="D139" s="2" t="str">
        <x:v>vit</x:v>
      </x:c>
      <x:c r="E139" s="19" t="str">
        <x:v>How does image-specific inductive bias in the original ViT differ from CNNs?</x:v>
      </x:c>
      <x:c r="F139" s="7" t="n">
        <x:v>1</x:v>
      </x:c>
      <x:c r="G139" s="7" t="n">
        <x:v>1</x:v>
      </x:c>
      <x:c r="H139" s="7" t="n">
        <x:v>1</x:v>
      </x:c>
      <x:c r="I139" s="20" t="n">
        <x:f>IF(H139&gt;0,1,0)</x:f>
        <x:v>1</x:v>
      </x:c>
      <x:c r="J139" s="8" t="n">
        <x:f>H139/F139</x:f>
        <x:v>1</x:v>
      </x:c>
      <x:c r="K139" s="9" t="n">
        <x:f>IF(G139="",0,1/G139)</x:f>
        <x:v>1</x:v>
      </x:c>
      <x:c r="L139" s="10" t="n">
        <x:v>68.30824999997276</x:v>
      </x:c>
      <x:c r="M139" s="10" t="n">
        <x:v>66.20212499910849</x:v>
      </x:c>
      <x:c r="N139" s="10" t="n">
        <x:v>67.9572079970967</x:v>
      </x:c>
      <x:c r="O139" s="10" t="n">
        <x:f>AVERAGE(L139:N139)</x:f>
        <x:v>67.48919433205931</x:v>
      </x:c>
      <x:c r="P139" s="19" t="str">
        <x:v>5bde2de08ea0
e3ac137c2106
b2c5ca4a2c2d
1301ce16c312
6a7c2a4fa97a</x:v>
      </x:c>
      <x:c r="Q139" s="19" t="str">
        <x:v>vit.pdf 第4页
vit.pdf 第7页
vit.pdf 第2页
vit.pdf 第4页
vit.pdf 第6页</x:v>
      </x:c>
    </x:row>
    <x:row r="140" ht="95" customHeight="1">
      <x:c r="A140" s="2" t="str">
        <x:v>混合检索</x:v>
      </x:c>
      <x:c r="B140" s="2" t="str">
        <x:v>vit-05-zh</x:v>
      </x:c>
      <x:c r="C140" s="2" t="str">
        <x:v>zh-&gt;en</x:v>
      </x:c>
      <x:c r="D140" s="2" t="str">
        <x:v>vit</x:v>
      </x:c>
      <x:c r="E140" s="19" t="str">
        <x:v>原始ViT的混合架构从哪里取得图像块嵌入输入？</x:v>
      </x:c>
      <x:c r="F140" s="7" t="n">
        <x:v>1</x:v>
      </x:c>
      <x:c r="G140" s="7"/>
      <x:c r="H140" s="7" t="n">
        <x:v>0</x:v>
      </x:c>
      <x:c r="I140" s="20" t="n">
        <x:f>IF(H140&gt;0,1,0)</x:f>
        <x:v>0</x:v>
      </x:c>
      <x:c r="J140" s="8" t="n">
        <x:f>H140/F140</x:f>
        <x:v>0</x:v>
      </x:c>
      <x:c r="K140" s="9" t="n">
        <x:f>IF(G140="",0,1/G140)</x:f>
        <x:v>0</x:v>
      </x:c>
      <x:c r="L140" s="10" t="n">
        <x:v>68.54495800143923</x:v>
      </x:c>
      <x:c r="M140" s="10" t="n">
        <x:v>67.72604100115132</x:v>
      </x:c>
      <x:c r="N140" s="10" t="n">
        <x:v>68.75220899746637</x:v>
      </x:c>
      <x:c r="O140" s="10" t="n">
        <x:f>AVERAGE(L140:N140)</x:f>
        <x:v>68.34106933335231</x:v>
      </x:c>
      <x:c r="P140" s="19" t="str">
        <x:v>127d05940603
3f95899ef871
42985578f492
9b691fff25d7
9bb9cb71c365</x:v>
      </x:c>
      <x:c r="Q140" s="19" t="str">
        <x:v>vision_survey.pdf 第2页
vision_survey.pdf 第21页
vision_survey.pdf 第14页
cnn_survey.pdf 第7页
vit.pdf 第19页</x:v>
      </x:c>
    </x:row>
    <x:row r="141" ht="95" customHeight="1">
      <x:c r="A141" s="2" t="str">
        <x:v>混合检索</x:v>
      </x:c>
      <x:c r="B141" s="2" t="str">
        <x:v>vit-05-en</x:v>
      </x:c>
      <x:c r="C141" s="2" t="str">
        <x:v>en-&gt;en</x:v>
      </x:c>
      <x:c r="D141" s="2" t="str">
        <x:v>vit</x:v>
      </x:c>
      <x:c r="E141" s="19" t="str">
        <x:v>Where do input patch embeddings come from in the original ViT hybrid architecture?</x:v>
      </x:c>
      <x:c r="F141" s="7" t="n">
        <x:v>1</x:v>
      </x:c>
      <x:c r="G141" s="7" t="n">
        <x:v>2</x:v>
      </x:c>
      <x:c r="H141" s="7" t="n">
        <x:v>1</x:v>
      </x:c>
      <x:c r="I141" s="20" t="n">
        <x:f>IF(H141&gt;0,1,0)</x:f>
        <x:v>1</x:v>
      </x:c>
      <x:c r="J141" s="8" t="n">
        <x:f>H141/F141</x:f>
        <x:v>1</x:v>
      </x:c>
      <x:c r="K141" s="9" t="n">
        <x:f>IF(G141="",0,1/G141)</x:f>
        <x:v>0.5</x:v>
      </x:c>
      <x:c r="L141" s="10" t="n">
        <x:v>67.41633300043759</x:v>
      </x:c>
      <x:c r="M141" s="10" t="n">
        <x:v>64.73662500138744</x:v>
      </x:c>
      <x:c r="N141" s="10" t="n">
        <x:v>66.1816669999098</x:v>
      </x:c>
      <x:c r="O141" s="10" t="n">
        <x:f>AVERAGE(L141:N141)</x:f>
        <x:v>66.11154166724494</x:v>
      </x:c>
      <x:c r="P141" s="19" t="str">
        <x:v>40f8d16aaec2
a7ae255f3607
f0472597593c
583e7238700e
35b8ef654a38</x:v>
      </x:c>
      <x:c r="Q141" s="19" t="str">
        <x:v>vit.pdf 第4页
vit.pdf 第4页
vit.pdf 第9页
vit.pdf 第18页
vit.pdf 第13页</x:v>
      </x:c>
    </x:row>
    <x:row r="142" ht="95" customHeight="1">
      <x:c r="A142" s="2" t="str">
        <x:v>混合检索</x:v>
      </x:c>
      <x:c r="B142" s="2" t="str">
        <x:v>vit-06-zh</x:v>
      </x:c>
      <x:c r="C142" s="2" t="str">
        <x:v>zh-&gt;en</x:v>
      </x:c>
      <x:c r="D142" s="2" t="str">
        <x:v>vit</x:v>
      </x:c>
      <x:c r="E142" s="19" t="str">
        <x:v>原始ViT提高微调图像分辨率时如何调整位置嵌入？</x:v>
      </x:c>
      <x:c r="F142" s="7" t="n">
        <x:v>1</x:v>
      </x:c>
      <x:c r="G142" s="7"/>
      <x:c r="H142" s="7" t="n">
        <x:v>0</x:v>
      </x:c>
      <x:c r="I142" s="20" t="n">
        <x:f>IF(H142&gt;0,1,0)</x:f>
        <x:v>0</x:v>
      </x:c>
      <x:c r="J142" s="8" t="n">
        <x:f>H142/F142</x:f>
        <x:v>0</x:v>
      </x:c>
      <x:c r="K142" s="9" t="n">
        <x:f>IF(G142="",0,1/G142)</x:f>
        <x:v>0</x:v>
      </x:c>
      <x:c r="L142" s="10" t="n">
        <x:v>67.81849999970291</x:v>
      </x:c>
      <x:c r="M142" s="10" t="n">
        <x:v>67.56716699965182</x:v>
      </x:c>
      <x:c r="N142" s="10" t="n">
        <x:v>71.86262500181329</x:v>
      </x:c>
      <x:c r="O142" s="10" t="n">
        <x:f>AVERAGE(L142:N142)</x:f>
        <x:v>69.08276400038933</x:v>
      </x:c>
      <x:c r="P142" s="19" t="str">
        <x:v>b45a419f3d18
127d05940603
fe92a83a9be3
df5f4497c074
302699ed12b4</x:v>
      </x:c>
      <x:c r="Q142" s="19" t="str">
        <x:v>vision_survey.pdf 第14页
vision_survey.pdf 第2页
vision_survey.pdf 第4页
vision_survey.pdf 第4页
vision_survey.pdf 第8页</x:v>
      </x:c>
    </x:row>
    <x:row r="143" ht="95" customHeight="1">
      <x:c r="A143" s="2" t="str">
        <x:v>混合检索</x:v>
      </x:c>
      <x:c r="B143" s="2" t="str">
        <x:v>vit-06-en</x:v>
      </x:c>
      <x:c r="C143" s="2" t="str">
        <x:v>en-&gt;en</x:v>
      </x:c>
      <x:c r="D143" s="2" t="str">
        <x:v>vit</x:v>
      </x:c>
      <x:c r="E143" s="19" t="str">
        <x:v>How does the original ViT adjust positional embeddings when fine-tuning at higher image resolution?</x:v>
      </x:c>
      <x:c r="F143" s="7" t="n">
        <x:v>1</x:v>
      </x:c>
      <x:c r="G143" s="7" t="n">
        <x:v>1</x:v>
      </x:c>
      <x:c r="H143" s="7" t="n">
        <x:v>1</x:v>
      </x:c>
      <x:c r="I143" s="20" t="n">
        <x:f>IF(H143&gt;0,1,0)</x:f>
        <x:v>1</x:v>
      </x:c>
      <x:c r="J143" s="8" t="n">
        <x:f>H143/F143</x:f>
        <x:v>1</x:v>
      </x:c>
      <x:c r="K143" s="9" t="n">
        <x:f>IF(G143="",0,1/G143)</x:f>
        <x:v>1</x:v>
      </x:c>
      <x:c r="L143" s="10" t="n">
        <x:v>70.50779199926183</x:v>
      </x:c>
      <x:c r="M143" s="10" t="n">
        <x:v>71.07754200114869</x:v>
      </x:c>
      <x:c r="N143" s="10" t="n">
        <x:v>68.35620800120523</x:v>
      </x:c>
      <x:c r="O143" s="10" t="n">
        <x:f>AVERAGE(L143:N143)</x:f>
        <x:v>69.98051400053858</x:v>
      </x:c>
      <x:c r="P143" s="19" t="str">
        <x:v>3d62a45b1688
5b02dff2de83
40f8d16aaec2
35b8ef654a38
de306f230bef</x:v>
      </x:c>
      <x:c r="Q143" s="19" t="str">
        <x:v>vit.pdf 第4页
vit.pdf 第4页
vit.pdf 第4页
vit.pdf 第13页
vit.pdf 第3页</x:v>
      </x:c>
    </x:row>
    <x:row r="144" ht="95" customHeight="1">
      <x:c r="A144" s="2" t="str">
        <x:v>混合检索</x:v>
      </x:c>
      <x:c r="B144" s="2" t="str">
        <x:v>vit-07-zh</x:v>
      </x:c>
      <x:c r="C144" s="2" t="str">
        <x:v>zh-&gt;en</x:v>
      </x:c>
      <x:c r="D144" s="2" t="str">
        <x:v>vit</x:v>
      </x:c>
      <x:c r="E144" s="19" t="str">
        <x:v>原始ViT的ImageNet-21k预训练集类别数和图像数是多少？</x:v>
      </x:c>
      <x:c r="F144" s="7" t="n">
        <x:v>1</x:v>
      </x:c>
      <x:c r="G144" s="7"/>
      <x:c r="H144" s="7" t="n">
        <x:v>0</x:v>
      </x:c>
      <x:c r="I144" s="20" t="n">
        <x:f>IF(H144&gt;0,1,0)</x:f>
        <x:v>0</x:v>
      </x:c>
      <x:c r="J144" s="8" t="n">
        <x:f>H144/F144</x:f>
        <x:v>0</x:v>
      </x:c>
      <x:c r="K144" s="9" t="n">
        <x:f>IF(G144="",0,1/G144)</x:f>
        <x:v>0</x:v>
      </x:c>
      <x:c r="L144" s="10" t="n">
        <x:v>68.14158300039708</x:v>
      </x:c>
      <x:c r="M144" s="10" t="n">
        <x:v>66.06345800173585</x:v>
      </x:c>
      <x:c r="N144" s="10" t="n">
        <x:v>68.31845800115843</x:v>
      </x:c>
      <x:c r="O144" s="10" t="n">
        <x:f>AVERAGE(L144:N144)</x:f>
        <x:v>67.50783300109713</x:v>
      </x:c>
      <x:c r="P144" s="19" t="str">
        <x:v>216400db327d
a1c660bbd488
aaa1c0527abb
e9a22901773e
65b420cbde70</x:v>
      </x:c>
      <x:c r="Q144" s="19" t="str">
        <x:v>vit.pdf 第7页
cnn_survey.pdf 第10页
vit.pdf 第7页
cnn_survey.pdf 第9页
cnn_survey.pdf 第10页</x:v>
      </x:c>
    </x:row>
    <x:row r="145" ht="95" customHeight="1">
      <x:c r="A145" s="2" t="str">
        <x:v>混合检索</x:v>
      </x:c>
      <x:c r="B145" s="2" t="str">
        <x:v>vit-07-en</x:v>
      </x:c>
      <x:c r="C145" s="2" t="str">
        <x:v>en-&gt;en</x:v>
      </x:c>
      <x:c r="D145" s="2" t="str">
        <x:v>vit</x:v>
      </x:c>
      <x:c r="E145" s="19" t="str">
        <x:v>How many classes and images are in the ImageNet-21k pre-training set of the original ViT?</x:v>
      </x:c>
      <x:c r="F145" s="7" t="n">
        <x:v>1</x:v>
      </x:c>
      <x:c r="G145" s="7" t="n">
        <x:v>1</x:v>
      </x:c>
      <x:c r="H145" s="7" t="n">
        <x:v>1</x:v>
      </x:c>
      <x:c r="I145" s="20" t="n">
        <x:f>IF(H145&gt;0,1,0)</x:f>
        <x:v>1</x:v>
      </x:c>
      <x:c r="J145" s="8" t="n">
        <x:f>H145/F145</x:f>
        <x:v>1</x:v>
      </x:c>
      <x:c r="K145" s="9" t="n">
        <x:f>IF(G145="",0,1/G145)</x:f>
        <x:v>1</x:v>
      </x:c>
      <x:c r="L145" s="10" t="n">
        <x:v>65.37937499888358</x:v>
      </x:c>
      <x:c r="M145" s="10" t="n">
        <x:v>65.02841700057616</x:v>
      </x:c>
      <x:c r="N145" s="10" t="n">
        <x:v>69.23941599961836</x:v>
      </x:c>
      <x:c r="O145" s="10" t="n">
        <x:f>AVERAGE(L145:N145)</x:f>
        <x:v>66.54906933302603</x:v>
      </x:c>
      <x:c r="P145" s="19" t="str">
        <x:v>abe2f1d08bd6
9b0b9c2680b6
1649d42ecbf2
6a7c2a4fa97a
216400db327d</x:v>
      </x:c>
      <x:c r="Q145" s="19" t="str">
        <x:v>vit.pdf 第4页
vit.pdf 第6页
vit.pdf 第14页
vit.pdf 第6页
vit.pdf 第7页</x:v>
      </x:c>
    </x:row>
    <x:row r="146" ht="95" customHeight="1">
      <x:c r="A146" s="2" t="str">
        <x:v>混合检索</x:v>
      </x:c>
      <x:c r="B146" s="2" t="str">
        <x:v>vit-08-zh</x:v>
      </x:c>
      <x:c r="C146" s="2" t="str">
        <x:v>zh-&gt;en</x:v>
      </x:c>
      <x:c r="D146" s="2" t="str">
        <x:v>vit</x:v>
      </x:c>
      <x:c r="E146" s="19" t="str">
        <x:v>原始ViT微调采用什么优化器及动量值？</x:v>
      </x:c>
      <x:c r="F146" s="7" t="n">
        <x:v>1</x:v>
      </x:c>
      <x:c r="G146" s="7"/>
      <x:c r="H146" s="7" t="n">
        <x:v>0</x:v>
      </x:c>
      <x:c r="I146" s="20" t="n">
        <x:f>IF(H146&gt;0,1,0)</x:f>
        <x:v>0</x:v>
      </x:c>
      <x:c r="J146" s="8" t="n">
        <x:f>H146/F146</x:f>
        <x:v>0</x:v>
      </x:c>
      <x:c r="K146" s="9" t="n">
        <x:f>IF(G146="",0,1/G146)</x:f>
        <x:v>0</x:v>
      </x:c>
      <x:c r="L146" s="10" t="n">
        <x:v>63.25866600309382</x:v>
      </x:c>
      <x:c r="M146" s="10" t="n">
        <x:v>65.3166659976705</x:v>
      </x:c>
      <x:c r="N146" s="10" t="n">
        <x:v>69.4214169998304</x:v>
      </x:c>
      <x:c r="O146" s="10" t="n">
        <x:f>AVERAGE(L146:N146)</x:f>
        <x:v>65.99891633353157</x:v>
      </x:c>
      <x:c r="P146" s="19" t="str">
        <x:v>38f71ea35841
fe92a83a9be3
9b0b9c2680b6
eaffa99c94da
5c79955f1235</x:v>
      </x:c>
      <x:c r="Q146" s="19" t="str">
        <x:v>cnn_survey.pdf 第9页
vision_survey.pdf 第4页
vit.pdf 第6页
compression.pdf 第8页
cnn_survey.pdf 第12页</x:v>
      </x:c>
    </x:row>
    <x:row r="147" ht="95" customHeight="1">
      <x:c r="A147" s="2" t="str">
        <x:v>混合检索</x:v>
      </x:c>
      <x:c r="B147" s="2" t="str">
        <x:v>vit-08-en</x:v>
      </x:c>
      <x:c r="C147" s="2" t="str">
        <x:v>en-&gt;en</x:v>
      </x:c>
      <x:c r="D147" s="2" t="str">
        <x:v>vit</x:v>
      </x:c>
      <x:c r="E147" s="19" t="str">
        <x:v>Which optimizer and momentum value are used for fine-tuning the original ViT?</x:v>
      </x:c>
      <x:c r="F147" s="7" t="n">
        <x:v>1</x:v>
      </x:c>
      <x:c r="G147" s="7"/>
      <x:c r="H147" s="7" t="n">
        <x:v>0</x:v>
      </x:c>
      <x:c r="I147" s="20" t="n">
        <x:f>IF(H147&gt;0,1,0)</x:f>
        <x:v>0</x:v>
      </x:c>
      <x:c r="J147" s="8" t="n">
        <x:f>H147/F147</x:f>
        <x:v>0</x:v>
      </x:c>
      <x:c r="K147" s="9" t="n">
        <x:f>IF(G147="",0,1/G147)</x:f>
        <x:v>0</x:v>
      </x:c>
      <x:c r="L147" s="10" t="n">
        <x:v>65.40258300083224</x:v>
      </x:c>
      <x:c r="M147" s="10" t="n">
        <x:v>67.48020800296217</x:v>
      </x:c>
      <x:c r="N147" s="10" t="n">
        <x:v>66.70041699908325</x:v>
      </x:c>
      <x:c r="O147" s="10" t="n">
        <x:f>AVERAGE(L147:N147)</x:f>
        <x:v>66.52773600095922</x:v>
      </x:c>
      <x:c r="P147" s="19" t="str">
        <x:v>0fb0eae9597c
e8ef5be7b5cc
4ddee78df6c0
9b0b9c2680b6
16c65d443367</x:v>
      </x:c>
      <x:c r="Q147" s="19" t="str">
        <x:v>vit.pdf 第5页
bert.pdf 第3页
vit.pdf 第5页
vit.pdf 第6页
vit.pdf 第22页</x:v>
      </x:c>
    </x:row>
    <x:row r="148" ht="95" customHeight="1">
      <x:c r="A148" s="2" t="str">
        <x:v>混合检索</x:v>
      </x:c>
      <x:c r="B148" s="2" t="str">
        <x:v>cnn_survey-01-zh</x:v>
      </x:c>
      <x:c r="C148" s="2" t="str">
        <x:v>zh-&gt;zh</x:v>
      </x:c>
      <x:c r="D148" s="2" t="str">
        <x:v>cnn_survey</x:v>
      </x:c>
      <x:c r="E148" s="19" t="str">
        <x:v>周飞燕等的CNN综述中，卷积层为什么能减少可训练参数？</x:v>
      </x:c>
      <x:c r="F148" s="7" t="n">
        <x:v>2</x:v>
      </x:c>
      <x:c r="G148" s="7"/>
      <x:c r="H148" s="7" t="n">
        <x:v>0</x:v>
      </x:c>
      <x:c r="I148" s="20" t="n">
        <x:f>IF(H148&gt;0,1,0)</x:f>
        <x:v>0</x:v>
      </x:c>
      <x:c r="J148" s="8" t="n">
        <x:f>H148/F148</x:f>
        <x:v>0</x:v>
      </x:c>
      <x:c r="K148" s="9" t="n">
        <x:f>IF(G148="",0,1/G148)</x:f>
        <x:v>0</x:v>
      </x:c>
      <x:c r="L148" s="10" t="n">
        <x:v>68.94241699774284</x:v>
      </x:c>
      <x:c r="M148" s="10" t="n">
        <x:v>67.79454100251314</x:v>
      </x:c>
      <x:c r="N148" s="10" t="n">
        <x:v>68.63370799692348</x:v>
      </x:c>
      <x:c r="O148" s="10" t="n">
        <x:f>AVERAGE(L148:N148)</x:f>
        <x:v>68.45688866572648</x:v>
      </x:c>
      <x:c r="P148" s="19" t="str">
        <x:v>643311f2d6d5
6e11ec046b73
59cf668d4f71
a7d9bcbd8c51
cf37c35249bd</x:v>
      </x:c>
      <x:c r="Q148" s="19" t="str">
        <x:v>cnn_survey.pdf 第5页
cnn_survey.pdf 第7页
cnn_survey.pdf 第9页
cnn_survey.pdf 第3页
cnn_survey.pdf 第13页</x:v>
      </x:c>
    </x:row>
    <x:row r="149" ht="95" customHeight="1">
      <x:c r="A149" s="2" t="str">
        <x:v>混合检索</x:v>
      </x:c>
      <x:c r="B149" s="2" t="str">
        <x:v>cnn_survey-01-en</x:v>
      </x:c>
      <x:c r="C149" s="2" t="str">
        <x:v>en-&gt;zh</x:v>
      </x:c>
      <x:c r="D149" s="2" t="str">
        <x:v>cnn_survey</x:v>
      </x:c>
      <x:c r="E149" s="19" t="str">
        <x:v>According to Zhou et al. CNN survey, why can convolutional layers reduce trainable parameters?</x:v>
      </x:c>
      <x:c r="F149" s="7" t="n">
        <x:v>2</x:v>
      </x:c>
      <x:c r="G149" s="7"/>
      <x:c r="H149" s="7" t="n">
        <x:v>0</x:v>
      </x:c>
      <x:c r="I149" s="20" t="n">
        <x:f>IF(H149&gt;0,1,0)</x:f>
        <x:v>0</x:v>
      </x:c>
      <x:c r="J149" s="8" t="n">
        <x:f>H149/F149</x:f>
        <x:v>0</x:v>
      </x:c>
      <x:c r="K149" s="9" t="n">
        <x:f>IF(G149="",0,1/G149)</x:f>
        <x:v>0</x:v>
      </x:c>
      <x:c r="L149" s="10" t="n">
        <x:v>63.76491699847975</x:v>
      </x:c>
      <x:c r="M149" s="10" t="n">
        <x:v>64.25895799839054</x:v>
      </x:c>
      <x:c r="N149" s="10" t="n">
        <x:v>67.69391699708649</x:v>
      </x:c>
      <x:c r="O149" s="10" t="n">
        <x:f>AVERAGE(L149:N149)</x:f>
        <x:v>65.23926399798559</x:v>
      </x:c>
      <x:c r="P149" s="19" t="str">
        <x:v>bc46516c6e0b
3fa2b491543f
a14727952238
ba725efd54d8
f6fa6b8498cb</x:v>
      </x:c>
      <x:c r="Q149" s="19" t="str">
        <x:v>vit.pdf 第2页
vit.pdf 第1页
vision_survey.pdf 第21页
cnn_survey.pdf 第2页
vit.pdf 第2页</x:v>
      </x:c>
    </x:row>
    <x:row r="150" ht="95" customHeight="1">
      <x:c r="A150" s="2" t="str">
        <x:v>混合检索</x:v>
      </x:c>
      <x:c r="B150" s="2" t="str">
        <x:v>cnn_survey-02-zh</x:v>
      </x:c>
      <x:c r="C150" s="2" t="str">
        <x:v>zh-&gt;zh</x:v>
      </x:c>
      <x:c r="D150" s="2" t="str">
        <x:v>cnn_survey</x:v>
      </x:c>
      <x:c r="E150" s="19" t="str">
        <x:v>周飞燕等的CNN综述中，最大池化和均值池化分别怎么计算？</x:v>
      </x:c>
      <x:c r="F150" s="7" t="n">
        <x:v>1</x:v>
      </x:c>
      <x:c r="G150" s="7" t="n">
        <x:v>4</x:v>
      </x:c>
      <x:c r="H150" s="7" t="n">
        <x:v>1</x:v>
      </x:c>
      <x:c r="I150" s="20" t="n">
        <x:f>IF(H150&gt;0,1,0)</x:f>
        <x:v>1</x:v>
      </x:c>
      <x:c r="J150" s="8" t="n">
        <x:f>H150/F150</x:f>
        <x:v>1</x:v>
      </x:c>
      <x:c r="K150" s="9" t="n">
        <x:f>IF(G150="",0,1/G150)</x:f>
        <x:v>0.25</x:v>
      </x:c>
      <x:c r="L150" s="10" t="n">
        <x:v>71.82704099977855</x:v>
      </x:c>
      <x:c r="M150" s="10" t="n">
        <x:v>71.25845799964736</x:v>
      </x:c>
      <x:c r="N150" s="10" t="n">
        <x:v>70.09699999980512</x:v>
      </x:c>
      <x:c r="O150" s="10" t="n">
        <x:f>AVERAGE(L150:N150)</x:f>
        <x:v>71.06083299974368</x:v>
      </x:c>
      <x:c r="P150" s="19" t="str">
        <x:v>f2bf4875d6e6
42b4f550385e
4c330de3aa55
a30034f8a1e5
5c79955f1235</x:v>
      </x:c>
      <x:c r="Q150" s="19" t="str">
        <x:v>cnn_survey.pdf 第6页
cnn_survey.pdf 第8页
cnn_survey.pdf 第17页
cnn_survey.pdf 第6页
cnn_survey.pdf 第12页</x:v>
      </x:c>
    </x:row>
    <x:row r="151" ht="95" customHeight="1">
      <x:c r="A151" s="2" t="str">
        <x:v>混合检索</x:v>
      </x:c>
      <x:c r="B151" s="2" t="str">
        <x:v>cnn_survey-02-en</x:v>
      </x:c>
      <x:c r="C151" s="2" t="str">
        <x:v>en-&gt;zh</x:v>
      </x:c>
      <x:c r="D151" s="2" t="str">
        <x:v>cnn_survey</x:v>
      </x:c>
      <x:c r="E151" s="19" t="str">
        <x:v>According to Zhou et al. CNN survey, how are max pooling and average pooling computed?</x:v>
      </x:c>
      <x:c r="F151" s="7" t="n">
        <x:v>1</x:v>
      </x:c>
      <x:c r="G151" s="7"/>
      <x:c r="H151" s="7" t="n">
        <x:v>0</x:v>
      </x:c>
      <x:c r="I151" s="20" t="n">
        <x:f>IF(H151&gt;0,1,0)</x:f>
        <x:v>0</x:v>
      </x:c>
      <x:c r="J151" s="8" t="n">
        <x:f>H151/F151</x:f>
        <x:v>0</x:v>
      </x:c>
      <x:c r="K151" s="9" t="n">
        <x:f>IF(G151="",0,1/G151)</x:f>
        <x:v>0</x:v>
      </x:c>
      <x:c r="L151" s="10" t="n">
        <x:v>64.0253749988915</x:v>
      </x:c>
      <x:c r="M151" s="10" t="n">
        <x:v>66.90979199993308</x:v>
      </x:c>
      <x:c r="N151" s="10" t="n">
        <x:v>66.65950000024168</x:v>
      </x:c>
      <x:c r="O151" s="10" t="n">
        <x:f>AVERAGE(L151:N151)</x:f>
        <x:v>65.86488899968874</x:v>
      </x:c>
      <x:c r="P151" s="19" t="str">
        <x:v>f6fa6b8498cb
689a3c8da973
6949ca0340c7
32ae5c6a801d
a14727952238</x:v>
      </x:c>
      <x:c r="Q151" s="19" t="str">
        <x:v>vit.pdf 第2页
vit.pdf 第17页
cnn_survey.pdf 第20页
cnn_survey.pdf 第20页
vision_survey.pdf 第21页</x:v>
      </x:c>
    </x:row>
    <x:row r="152" ht="95" customHeight="1">
      <x:c r="A152" s="2" t="str">
        <x:v>混合检索</x:v>
      </x:c>
      <x:c r="B152" s="2" t="str">
        <x:v>cnn_survey-03-zh</x:v>
      </x:c>
      <x:c r="C152" s="2" t="str">
        <x:v>zh-&gt;zh</x:v>
      </x:c>
      <x:c r="D152" s="2" t="str">
        <x:v>cnn_survey</x:v>
      </x:c>
      <x:c r="E152" s="19" t="str">
        <x:v>周飞燕等的CNN综述怎样解释dropout防止过拟合？</x:v>
      </x:c>
      <x:c r="F152" s="7" t="n">
        <x:v>1</x:v>
      </x:c>
      <x:c r="G152" s="7"/>
      <x:c r="H152" s="7" t="n">
        <x:v>0</x:v>
      </x:c>
      <x:c r="I152" s="20" t="n">
        <x:f>IF(H152&gt;0,1,0)</x:f>
        <x:v>0</x:v>
      </x:c>
      <x:c r="J152" s="8" t="n">
        <x:f>H152/F152</x:f>
        <x:v>0</x:v>
      </x:c>
      <x:c r="K152" s="9" t="n">
        <x:f>IF(G152="",0,1/G152)</x:f>
        <x:v>0</x:v>
      </x:c>
      <x:c r="L152" s="10" t="n">
        <x:v>70.14158399761072</x:v>
      </x:c>
      <x:c r="M152" s="10" t="n">
        <x:v>68.81970800168347</x:v>
      </x:c>
      <x:c r="N152" s="10" t="n">
        <x:v>68.82074999884935</x:v>
      </x:c>
      <x:c r="O152" s="10" t="n">
        <x:f>AVERAGE(L152:N152)</x:f>
        <x:v>69.26068066604785</x:v>
      </x:c>
      <x:c r="P152" s="19" t="str">
        <x:v>59cf668d4f71
cf37c35249bd
6e11ec046b73
de71e3b37231
c0623f7b5331</x:v>
      </x:c>
      <x:c r="Q152" s="19" t="str">
        <x:v>cnn_survey.pdf 第9页
cnn_survey.pdf 第13页
cnn_survey.pdf 第7页
cnn_survey.pdf 第21页
cnn_survey.pdf 第15页</x:v>
      </x:c>
    </x:row>
    <x:row r="153" ht="95" customHeight="1">
      <x:c r="A153" s="2" t="str">
        <x:v>混合检索</x:v>
      </x:c>
      <x:c r="B153" s="2" t="str">
        <x:v>cnn_survey-03-en</x:v>
      </x:c>
      <x:c r="C153" s="2" t="str">
        <x:v>en-&gt;zh</x:v>
      </x:c>
      <x:c r="D153" s="2" t="str">
        <x:v>cnn_survey</x:v>
      </x:c>
      <x:c r="E153" s="19" t="str">
        <x:v>How does Zhou et al. CNN survey explain the way dropout prevents overfitting?</x:v>
      </x:c>
      <x:c r="F153" s="7" t="n">
        <x:v>1</x:v>
      </x:c>
      <x:c r="G153" s="7"/>
      <x:c r="H153" s="7" t="n">
        <x:v>0</x:v>
      </x:c>
      <x:c r="I153" s="20" t="n">
        <x:f>IF(H153&gt;0,1,0)</x:f>
        <x:v>0</x:v>
      </x:c>
      <x:c r="J153" s="8" t="n">
        <x:f>H153/F153</x:f>
        <x:v>0</x:v>
      </x:c>
      <x:c r="K153" s="9" t="n">
        <x:f>IF(G153="",0,1/G153)</x:f>
        <x:v>0</x:v>
      </x:c>
      <x:c r="L153" s="10" t="n">
        <x:v>63.53291699997499</x:v>
      </x:c>
      <x:c r="M153" s="10" t="n">
        <x:v>69.29716699960409</x:v>
      </x:c>
      <x:c r="N153" s="10" t="n">
        <x:v>64.92841699946439</x:v>
      </x:c>
      <x:c r="O153" s="10" t="n">
        <x:f>AVERAGE(L153:N153)</x:f>
        <x:v>65.91950033301448</x:v>
      </x:c>
      <x:c r="P153" s="19" t="str">
        <x:v>3754cb9c4e07
f6fa6b8498cb
dbf2fcb223e4
d001fc3b29f7
402ad760d7eb</x:v>
      </x:c>
      <x:c r="Q153" s="19" t="str">
        <x:v>attention.pdf 第12页
vit.pdf 第2页
bert.pdf 第13页
cnn_survey.pdf 第20页
bert.pdf 第14页</x:v>
      </x:c>
    </x:row>
    <x:row r="154" ht="95" customHeight="1">
      <x:c r="A154" s="2" t="str">
        <x:v>混合检索</x:v>
      </x:c>
      <x:c r="B154" s="2" t="str">
        <x:v>cnn_survey-04-zh</x:v>
      </x:c>
      <x:c r="C154" s="2" t="str">
        <x:v>zh-&gt;zh</x:v>
      </x:c>
      <x:c r="D154" s="2" t="str">
        <x:v>cnn_survey</x:v>
      </x:c>
      <x:c r="E154" s="19" t="str">
        <x:v>周飞燕等的CNN综述中，网中网怎样替代卷积和全连接层？</x:v>
      </x:c>
      <x:c r="F154" s="7" t="n">
        <x:v>2</x:v>
      </x:c>
      <x:c r="G154" s="7"/>
      <x:c r="H154" s="7" t="n">
        <x:v>0</x:v>
      </x:c>
      <x:c r="I154" s="20" t="n">
        <x:f>IF(H154&gt;0,1,0)</x:f>
        <x:v>0</x:v>
      </x:c>
      <x:c r="J154" s="8" t="n">
        <x:f>H154/F154</x:f>
        <x:v>0</x:v>
      </x:c>
      <x:c r="K154" s="9" t="n">
        <x:f>IF(G154="",0,1/G154)</x:f>
        <x:v>0</x:v>
      </x:c>
      <x:c r="L154" s="10" t="n">
        <x:v>70.41566599946236</x:v>
      </x:c>
      <x:c r="M154" s="10" t="n">
        <x:v>70.31841699790675</x:v>
      </x:c>
      <x:c r="N154" s="10" t="n">
        <x:v>69.66800000009243</x:v>
      </x:c>
      <x:c r="O154" s="10" t="n">
        <x:f>AVERAGE(L154:N154)</x:f>
        <x:v>70.13402766582051</x:v>
      </x:c>
      <x:c r="P154" s="19" t="str">
        <x:v>59cf668d4f71
6e11ec046b73
643311f2d6d5
62b0af7539bf
41ffe96cfb4c</x:v>
      </x:c>
      <x:c r="Q154" s="19" t="str">
        <x:v>cnn_survey.pdf 第9页
cnn_survey.pdf 第7页
cnn_survey.pdf 第5页
cnn_survey.pdf 第11页
compression.pdf 第13页</x:v>
      </x:c>
    </x:row>
    <x:row r="155" ht="95" customHeight="1">
      <x:c r="A155" s="2" t="str">
        <x:v>混合检索</x:v>
      </x:c>
      <x:c r="B155" s="2" t="str">
        <x:v>cnn_survey-04-en</x:v>
      </x:c>
      <x:c r="C155" s="2" t="str">
        <x:v>en-&gt;zh</x:v>
      </x:c>
      <x:c r="D155" s="2" t="str">
        <x:v>cnn_survey</x:v>
      </x:c>
      <x:c r="E155" s="19" t="str">
        <x:v>In Zhou et al. CNN survey, how does Network in Network replace convolution and fully connected layers?</x:v>
      </x:c>
      <x:c r="F155" s="7" t="n">
        <x:v>2</x:v>
      </x:c>
      <x:c r="G155" s="7"/>
      <x:c r="H155" s="7" t="n">
        <x:v>0</x:v>
      </x:c>
      <x:c r="I155" s="20" t="n">
        <x:f>IF(H155&gt;0,1,0)</x:f>
        <x:v>0</x:v>
      </x:c>
      <x:c r="J155" s="8" t="n">
        <x:f>H155/F155</x:f>
        <x:v>0</x:v>
      </x:c>
      <x:c r="K155" s="9" t="n">
        <x:f>IF(G155="",0,1/G155)</x:f>
        <x:v>0</x:v>
      </x:c>
      <x:c r="L155" s="10" t="n">
        <x:v>65.4568330028269</x:v>
      </x:c>
      <x:c r="M155" s="10" t="n">
        <x:v>66.5970420013764</x:v>
      </x:c>
      <x:c r="N155" s="10" t="n">
        <x:v>63.54154200016637</x:v>
      </x:c>
      <x:c r="O155" s="10" t="n">
        <x:f>AVERAGE(L155:N155)</x:f>
        <x:v>65.19847233478988</x:v>
      </x:c>
      <x:c r="P155" s="19" t="str">
        <x:v>f6fa6b8498cb
d6cf399d48d2
12b90829f29b
a14727952238
e8f06eb67def</x:v>
      </x:c>
      <x:c r="Q155" s="19" t="str">
        <x:v>vit.pdf 第2页
vision_survey.pdf 第20页
attention.pdf 第7页
vision_survey.pdf 第21页
cnn_survey.pdf 第2页</x:v>
      </x:c>
    </x:row>
    <x:row r="156" ht="95" customHeight="1">
      <x:c r="A156" s="2" t="str">
        <x:v>混合检索</x:v>
      </x:c>
      <x:c r="B156" s="2" t="str">
        <x:v>cnn_survey-05-zh</x:v>
      </x:c>
      <x:c r="C156" s="2" t="str">
        <x:v>zh-&gt;zh</x:v>
      </x:c>
      <x:c r="D156" s="2" t="str">
        <x:v>cnn_survey</x:v>
      </x:c>
      <x:c r="E156" s="19" t="str">
        <x:v>周飞燕等的CNN综述中，空间变换网络由哪些组件构成？</x:v>
      </x:c>
      <x:c r="F156" s="7" t="n">
        <x:v>1</x:v>
      </x:c>
      <x:c r="G156" s="7"/>
      <x:c r="H156" s="7" t="n">
        <x:v>0</x:v>
      </x:c>
      <x:c r="I156" s="20" t="n">
        <x:f>IF(H156&gt;0,1,0)</x:f>
        <x:v>0</x:v>
      </x:c>
      <x:c r="J156" s="8" t="n">
        <x:f>H156/F156</x:f>
        <x:v>0</x:v>
      </x:c>
      <x:c r="K156" s="9" t="n">
        <x:f>IF(G156="",0,1/G156)</x:f>
        <x:v>0</x:v>
      </x:c>
      <x:c r="L156" s="10" t="n">
        <x:v>69.93633299862267</x:v>
      </x:c>
      <x:c r="M156" s="10" t="n">
        <x:v>69.14108300043154</x:v>
      </x:c>
      <x:c r="N156" s="10" t="n">
        <x:v>69.78729200272937</x:v>
      </x:c>
      <x:c r="O156" s="10" t="n">
        <x:f>AVERAGE(L156:N156)</x:f>
        <x:v>69.62156933392787</x:v>
      </x:c>
      <x:c r="P156" s="19" t="str">
        <x:v>59cf668d4f71
62b0af7539bf
de71e3b37231
e7db5d667bb2
45abf23685d6</x:v>
      </x:c>
      <x:c r="Q156" s="19" t="str">
        <x:v>cnn_survey.pdf 第9页
cnn_survey.pdf 第11页
cnn_survey.pdf 第21页
cnn_survey.pdf 第23页
compression.pdf 第2页</x:v>
      </x:c>
    </x:row>
    <x:row r="157" ht="95" customHeight="1">
      <x:c r="A157" s="2" t="str">
        <x:v>混合检索</x:v>
      </x:c>
      <x:c r="B157" s="2" t="str">
        <x:v>cnn_survey-05-en</x:v>
      </x:c>
      <x:c r="C157" s="2" t="str">
        <x:v>en-&gt;zh</x:v>
      </x:c>
      <x:c r="D157" s="2" t="str">
        <x:v>cnn_survey</x:v>
      </x:c>
      <x:c r="E157" s="19" t="str">
        <x:v>In Zhou et al. CNN survey, which components make up a spatial transformer network?</x:v>
      </x:c>
      <x:c r="F157" s="7" t="n">
        <x:v>1</x:v>
      </x:c>
      <x:c r="G157" s="7"/>
      <x:c r="H157" s="7" t="n">
        <x:v>0</x:v>
      </x:c>
      <x:c r="I157" s="20" t="n">
        <x:f>IF(H157&gt;0,1,0)</x:f>
        <x:v>0</x:v>
      </x:c>
      <x:c r="J157" s="8" t="n">
        <x:f>H157/F157</x:f>
        <x:v>0</x:v>
      </x:c>
      <x:c r="K157" s="9" t="n">
        <x:f>IF(G157="",0,1/G157)</x:f>
        <x:v>0</x:v>
      </x:c>
      <x:c r="L157" s="10" t="n">
        <x:v>67.66604199947324</x:v>
      </x:c>
      <x:c r="M157" s="10" t="n">
        <x:v>69.33195799865643</x:v>
      </x:c>
      <x:c r="N157" s="10" t="n">
        <x:v>68.06474999757484</x:v>
      </x:c>
      <x:c r="O157" s="10" t="n">
        <x:f>AVERAGE(L157:N157)</x:f>
        <x:v>68.35424999856816</x:v>
      </x:c>
      <x:c r="P157" s="19" t="str">
        <x:v>a14727952238
4ddee78df6c0
a7ae255f3607
f6fa6b8498cb
b2c5ca4a2c2d</x:v>
      </x:c>
      <x:c r="Q157" s="19" t="str">
        <x:v>vision_survey.pdf 第21页
vit.pdf 第5页
vit.pdf 第4页
vit.pdf 第2页
vit.pdf 第2页</x:v>
      </x:c>
    </x:row>
    <x:row r="158" ht="95" customHeight="1">
      <x:c r="A158" s="2" t="str">
        <x:v>混合检索</x:v>
      </x:c>
      <x:c r="B158" s="2" t="str">
        <x:v>cnn_survey-06-zh</x:v>
      </x:c>
      <x:c r="C158" s="2" t="str">
        <x:v>zh-&gt;zh</x:v>
      </x:c>
      <x:c r="D158" s="2" t="str">
        <x:v>cnn_survey</x:v>
      </x:c>
      <x:c r="E158" s="19" t="str">
        <x:v>周飞燕等的CNN综述为什么要求以不同的小随机数初始化权重？</x:v>
      </x:c>
      <x:c r="F158" s="7" t="n">
        <x:v>1</x:v>
      </x:c>
      <x:c r="G158" s="7" t="n">
        <x:v>1</x:v>
      </x:c>
      <x:c r="H158" s="7" t="n">
        <x:v>1</x:v>
      </x:c>
      <x:c r="I158" s="20" t="n">
        <x:f>IF(H158&gt;0,1,0)</x:f>
        <x:v>1</x:v>
      </x:c>
      <x:c r="J158" s="8" t="n">
        <x:f>H158/F158</x:f>
        <x:v>1</x:v>
      </x:c>
      <x:c r="K158" s="9" t="n">
        <x:f>IF(G158="",0,1/G158)</x:f>
        <x:v>1</x:v>
      </x:c>
      <x:c r="L158" s="10" t="n">
        <x:v>68.22858300074586</x:v>
      </x:c>
      <x:c r="M158" s="10" t="n">
        <x:v>69.93179100027191</x:v>
      </x:c>
      <x:c r="N158" s="10" t="n">
        <x:v>68.76954199833563</x:v>
      </x:c>
      <x:c r="O158" s="10" t="n">
        <x:f>AVERAGE(L158:N158)</x:f>
        <x:v>68.97663866645114</x:v>
      </x:c>
      <x:c r="P158" s="19" t="str">
        <x:v>38f71ea35841
59cf668d4f71
6e11ec046b73
44813f1edd13
e90d8ea05ec9</x:v>
      </x:c>
      <x:c r="Q158" s="19" t="str">
        <x:v>cnn_survey.pdf 第9页
cnn_survey.pdf 第9页
cnn_survey.pdf 第7页
compression.pdf 第10页
vision_survey.pdf 第14页</x:v>
      </x:c>
    </x:row>
    <x:row r="159" ht="95" customHeight="1">
      <x:c r="A159" s="2" t="str">
        <x:v>混合检索</x:v>
      </x:c>
      <x:c r="B159" s="2" t="str">
        <x:v>cnn_survey-06-en</x:v>
      </x:c>
      <x:c r="C159" s="2" t="str">
        <x:v>en-&gt;zh</x:v>
      </x:c>
      <x:c r="D159" s="2" t="str">
        <x:v>cnn_survey</x:v>
      </x:c>
      <x:c r="E159" s="19" t="str">
        <x:v>Why does Zhou et al. CNN survey require initializing weights with different small random numbers?</x:v>
      </x:c>
      <x:c r="F159" s="7" t="n">
        <x:v>1</x:v>
      </x:c>
      <x:c r="G159" s="7"/>
      <x:c r="H159" s="7" t="n">
        <x:v>0</x:v>
      </x:c>
      <x:c r="I159" s="20" t="n">
        <x:f>IF(H159&gt;0,1,0)</x:f>
        <x:v>0</x:v>
      </x:c>
      <x:c r="J159" s="8" t="n">
        <x:f>H159/F159</x:f>
        <x:v>0</x:v>
      </x:c>
      <x:c r="K159" s="9" t="n">
        <x:f>IF(G159="",0,1/G159)</x:f>
        <x:v>0</x:v>
      </x:c>
      <x:c r="L159" s="10" t="n">
        <x:v>70.98008300090441</x:v>
      </x:c>
      <x:c r="M159" s="10" t="n">
        <x:v>70.40070800212561</x:v>
      </x:c>
      <x:c r="N159" s="10" t="n">
        <x:v>67.82204200135311</x:v>
      </x:c>
      <x:c r="O159" s="10" t="n">
        <x:f>AVERAGE(L159:N159)</x:f>
        <x:v>69.73427766812772</x:v>
      </x:c>
      <x:c r="P159" s="19" t="str">
        <x:v>d31487129876
f6fa6b8498cb
d4a880565d54
3fa2b491543f
a91a78441f60</x:v>
      </x:c>
      <x:c r="Q159" s="19" t="str">
        <x:v>vit.pdf 第20页
vit.pdf 第2页
compression.pdf 第16页
vit.pdf 第1页
cnn_survey.pdf 第19页</x:v>
      </x:c>
    </x:row>
    <x:row r="160" ht="95" customHeight="1">
      <x:c r="A160" s="2" t="str">
        <x:v>混合检索</x:v>
      </x:c>
      <x:c r="B160" s="2" t="str">
        <x:v>cnn_survey-07-zh</x:v>
      </x:c>
      <x:c r="C160" s="2" t="str">
        <x:v>zh-&gt;zh</x:v>
      </x:c>
      <x:c r="D160" s="2" t="str">
        <x:v>cnn_survey</x:v>
      </x:c>
      <x:c r="E160" s="19" t="str">
        <x:v>周飞燕等的CNN综述中，残差网络用什么连接缓解深层网络退化？</x:v>
      </x:c>
      <x:c r="F160" s="7" t="n">
        <x:v>1</x:v>
      </x:c>
      <x:c r="G160" s="7" t="n">
        <x:v>1</x:v>
      </x:c>
      <x:c r="H160" s="7" t="n">
        <x:v>1</x:v>
      </x:c>
      <x:c r="I160" s="20" t="n">
        <x:f>IF(H160&gt;0,1,0)</x:f>
        <x:v>1</x:v>
      </x:c>
      <x:c r="J160" s="8" t="n">
        <x:f>H160/F160</x:f>
        <x:v>1</x:v>
      </x:c>
      <x:c r="K160" s="9" t="n">
        <x:f>IF(G160="",0,1/G160)</x:f>
        <x:v>1</x:v>
      </x:c>
      <x:c r="L160" s="10" t="n">
        <x:v>65.21958300072583</x:v>
      </x:c>
      <x:c r="M160" s="10" t="n">
        <x:v>69.12979200205882</x:v>
      </x:c>
      <x:c r="N160" s="10" t="n">
        <x:v>69.20475000151782</x:v>
      </x:c>
      <x:c r="O160" s="10" t="n">
        <x:f>AVERAGE(L160:N160)</x:f>
        <x:v>67.85137500143416</x:v>
      </x:c>
      <x:c r="P160" s="19" t="str">
        <x:v>caf41a180249
6e11ec046b73
cf37c35249bd
59cf668d4f71
a7d9bcbd8c51</x:v>
      </x:c>
      <x:c r="Q160" s="19" t="str">
        <x:v>cnn_survey.pdf 第12页
cnn_survey.pdf 第7页
cnn_survey.pdf 第13页
cnn_survey.pdf 第9页
cnn_survey.pdf 第3页</x:v>
      </x:c>
    </x:row>
    <x:row r="161" ht="95" customHeight="1">
      <x:c r="A161" s="2" t="str">
        <x:v>混合检索</x:v>
      </x:c>
      <x:c r="B161" s="2" t="str">
        <x:v>cnn_survey-07-en</x:v>
      </x:c>
      <x:c r="C161" s="2" t="str">
        <x:v>en-&gt;zh</x:v>
      </x:c>
      <x:c r="D161" s="2" t="str">
        <x:v>cnn_survey</x:v>
      </x:c>
      <x:c r="E161" s="19" t="str">
        <x:v>In Zhou et al. CNN survey, what connection does ResNet use to alleviate degradation in deep networks?</x:v>
      </x:c>
      <x:c r="F161" s="7" t="n">
        <x:v>1</x:v>
      </x:c>
      <x:c r="G161" s="7"/>
      <x:c r="H161" s="7" t="n">
        <x:v>0</x:v>
      </x:c>
      <x:c r="I161" s="20" t="n">
        <x:f>IF(H161&gt;0,1,0)</x:f>
        <x:v>0</x:v>
      </x:c>
      <x:c r="J161" s="8" t="n">
        <x:f>H161/F161</x:f>
        <x:v>0</x:v>
      </x:c>
      <x:c r="K161" s="9" t="n">
        <x:f>IF(G161="",0,1/G161)</x:f>
        <x:v>0</x:v>
      </x:c>
      <x:c r="L161" s="10" t="n">
        <x:v>70.89229199846159</x:v>
      </x:c>
      <x:c r="M161" s="10" t="n">
        <x:v>69.80062500224449</x:v>
      </x:c>
      <x:c r="N161" s="10" t="n">
        <x:v>74.87641700208769</x:v>
      </x:c>
      <x:c r="O161" s="10" t="n">
        <x:f>AVERAGE(L161:N161)</x:f>
        <x:v>71.85644466759793</x:v>
      </x:c>
      <x:c r="P161" s="19" t="str">
        <x:v>f6fa6b8498cb
a14727952238
7624524ee966
d6cf399d48d2
abe2f1d08bd6</x:v>
      </x:c>
      <x:c r="Q161" s="19" t="str">
        <x:v>vit.pdf 第2页
vision_survey.pdf 第21页
vit.pdf 第1页
vision_survey.pdf 第20页
vit.pdf 第4页</x:v>
      </x:c>
    </x:row>
    <x:row r="162" ht="95" customHeight="1">
      <x:c r="A162" s="2" t="str">
        <x:v>混合检索</x:v>
      </x:c>
      <x:c r="B162" s="2" t="str">
        <x:v>cnn_survey-08-zh</x:v>
      </x:c>
      <x:c r="C162" s="2" t="str">
        <x:v>zh-&gt;zh</x:v>
      </x:c>
      <x:c r="D162" s="2" t="str">
        <x:v>cnn_survey</x:v>
      </x:c>
      <x:c r="E162" s="19" t="str">
        <x:v>周飞燕等的CNN综述中，SWWAE的what和where变量分别是什么？</x:v>
      </x:c>
      <x:c r="F162" s="7" t="n">
        <x:v>1</x:v>
      </x:c>
      <x:c r="G162" s="7" t="n">
        <x:v>5</x:v>
      </x:c>
      <x:c r="H162" s="7" t="n">
        <x:v>1</x:v>
      </x:c>
      <x:c r="I162" s="20" t="n">
        <x:f>IF(H162&gt;0,1,0)</x:f>
        <x:v>1</x:v>
      </x:c>
      <x:c r="J162" s="8" t="n">
        <x:f>H162/F162</x:f>
        <x:v>1</x:v>
      </x:c>
      <x:c r="K162" s="9" t="n">
        <x:f>IF(G162="",0,1/G162)</x:f>
        <x:v>0.2</x:v>
      </x:c>
      <x:c r="L162" s="10" t="n">
        <x:v>69.88258400087943</x:v>
      </x:c>
      <x:c r="M162" s="10" t="n">
        <x:v>65.79525000051945</x:v>
      </x:c>
      <x:c r="N162" s="10" t="n">
        <x:v>65.1849999994738</x:v>
      </x:c>
      <x:c r="O162" s="10" t="n">
        <x:f>AVERAGE(L162:N162)</x:f>
        <x:v>66.9542780002909</x:v>
      </x:c>
      <x:c r="P162" s="19" t="str">
        <x:v>59cf668d4f71
6e11ec046b73
643311f2d6d5
62b0af7539bf
e9a22901773e</x:v>
      </x:c>
      <x:c r="Q162" s="19" t="str">
        <x:v>cnn_survey.pdf 第9页
cnn_survey.pdf 第7页
cnn_survey.pdf 第5页
cnn_survey.pdf 第11页
cnn_survey.pdf 第9页</x:v>
      </x:c>
    </x:row>
    <x:row r="163" ht="95" customHeight="1">
      <x:c r="A163" s="2" t="str">
        <x:v>混合检索</x:v>
      </x:c>
      <x:c r="B163" s="2" t="str">
        <x:v>cnn_survey-08-en</x:v>
      </x:c>
      <x:c r="C163" s="2" t="str">
        <x:v>en-&gt;zh</x:v>
      </x:c>
      <x:c r="D163" s="2" t="str">
        <x:v>cnn_survey</x:v>
      </x:c>
      <x:c r="E163" s="19" t="str">
        <x:v>In Zhou et al. CNN survey, what do the what and where variables in SWWAE represent?</x:v>
      </x:c>
      <x:c r="F163" s="7" t="n">
        <x:v>1</x:v>
      </x:c>
      <x:c r="G163" s="7"/>
      <x:c r="H163" s="7" t="n">
        <x:v>0</x:v>
      </x:c>
      <x:c r="I163" s="20" t="n">
        <x:f>IF(H163&gt;0,1,0)</x:f>
        <x:v>0</x:v>
      </x:c>
      <x:c r="J163" s="8" t="n">
        <x:f>H163/F163</x:f>
        <x:v>0</x:v>
      </x:c>
      <x:c r="K163" s="9" t="n">
        <x:f>IF(G163="",0,1/G163)</x:f>
        <x:v>0</x:v>
      </x:c>
      <x:c r="L163" s="10" t="n">
        <x:v>68.81625000096392</x:v>
      </x:c>
      <x:c r="M163" s="10" t="n">
        <x:v>70.11070899898186</x:v>
      </x:c>
      <x:c r="N163" s="10" t="n">
        <x:v>68.1017079987214</x:v>
      </x:c>
      <x:c r="O163" s="10" t="n">
        <x:f>AVERAGE(L163:N163)</x:f>
        <x:v>69.0095556662224</x:v>
      </x:c>
      <x:c r="P163" s="19" t="str">
        <x:v>4ddee78df6c0
826b93b7a2f8
f6fa6b8498cb
abe2f1d08bd6
ffe0c2d66ad7</x:v>
      </x:c>
      <x:c r="Q163" s="19" t="str">
        <x:v>vit.pdf 第5页
cnn_survey.pdf 第20页
vit.pdf 第2页
vit.pdf 第4页
bert.pdf 第7页</x:v>
      </x:c>
    </x:row>
    <x:row r="164" ht="95" customHeight="1">
      <x:c r="A164" s="2" t="str">
        <x:v>混合检索</x:v>
      </x:c>
      <x:c r="B164" s="2" t="str">
        <x:v>compression-01-zh</x:v>
      </x:c>
      <x:c r="C164" s="2" t="str">
        <x:v>zh-&gt;zh</x:v>
      </x:c>
      <x:c r="D164" s="2" t="str">
        <x:v>compression</x:v>
      </x:c>
      <x:c r="E164" s="19" t="str">
        <x:v>雷杰等的模型压缩综述中，为什么删除Filter等同于删除Feature Map？</x:v>
      </x:c>
      <x:c r="F164" s="7" t="n">
        <x:v>2</x:v>
      </x:c>
      <x:c r="G164" s="7" t="n">
        <x:v>2</x:v>
      </x:c>
      <x:c r="H164" s="7" t="n">
        <x:v>1</x:v>
      </x:c>
      <x:c r="I164" s="20" t="n">
        <x:f>IF(H164&gt;0,1,0)</x:f>
        <x:v>1</x:v>
      </x:c>
      <x:c r="J164" s="8" t="n">
        <x:f>H164/F164</x:f>
        <x:v>0.5</x:v>
      </x:c>
      <x:c r="K164" s="9" t="n">
        <x:f>IF(G164="",0,1/G164)</x:f>
        <x:v>0.5</x:v>
      </x:c>
      <x:c r="L164" s="10" t="n">
        <x:v>64.96187499942607</x:v>
      </x:c>
      <x:c r="M164" s="10" t="n">
        <x:v>69.76783400023123</x:v>
      </x:c>
      <x:c r="N164" s="10" t="n">
        <x:v>68.00079200183973</x:v>
      </x:c>
      <x:c r="O164" s="10" t="n">
        <x:f>AVERAGE(L164:N164)</x:f>
        <x:v>67.57683366716567</x:v>
      </x:c>
      <x:c r="P164" s="19" t="str">
        <x:v>e922d086c1ef
5b79a0dea268
cb5f93361f59
6b2681105939
91a31a82d1cc</x:v>
      </x:c>
      <x:c r="Q164" s="19" t="str">
        <x:v>compression.pdf 第15页
compression.pdf 第5页
compression.pdf 第11页
compression.pdf 第5页
compression.pdf 第7页</x:v>
      </x:c>
    </x:row>
    <x:row r="165" ht="95" customHeight="1">
      <x:c r="A165" s="2" t="str">
        <x:v>混合检索</x:v>
      </x:c>
      <x:c r="B165" s="2" t="str">
        <x:v>compression-01-en</x:v>
      </x:c>
      <x:c r="C165" s="2" t="str">
        <x:v>en-&gt;zh</x:v>
      </x:c>
      <x:c r="D165" s="2" t="str">
        <x:v>compression</x:v>
      </x:c>
      <x:c r="E165" s="19" t="str">
        <x:v>According to Lei et al. model compression survey, why is removing a filter equivalent to removing a feature map?</x:v>
      </x:c>
      <x:c r="F165" s="7" t="n">
        <x:v>2</x:v>
      </x:c>
      <x:c r="G165" s="7"/>
      <x:c r="H165" s="7" t="n">
        <x:v>0</x:v>
      </x:c>
      <x:c r="I165" s="20" t="n">
        <x:f>IF(H165&gt;0,1,0)</x:f>
        <x:v>0</x:v>
      </x:c>
      <x:c r="J165" s="8" t="n">
        <x:f>H165/F165</x:f>
        <x:v>0</x:v>
      </x:c>
      <x:c r="K165" s="9" t="n">
        <x:f>IF(G165="",0,1/G165)</x:f>
        <x:v>0</x:v>
      </x:c>
      <x:c r="L165" s="10" t="n">
        <x:v>71.02520799890044</x:v>
      </x:c>
      <x:c r="M165" s="10" t="n">
        <x:v>71.94629100195016</x:v>
      </x:c>
      <x:c r="N165" s="10" t="n">
        <x:v>68.15870900027221</x:v>
      </x:c>
      <x:c r="O165" s="10" t="n">
        <x:f>AVERAGE(L165:N165)</x:f>
        <x:v>70.37673600037427</x:v>
      </x:c>
      <x:c r="P165" s="19" t="str">
        <x:v>963c8fcf1c8d
a7ae255f3607
bc46516c6e0b
402ad760d7eb
a5ddb5a00800</x:v>
      </x:c>
      <x:c r="Q165" s="19" t="str">
        <x:v>compression.pdf 第1页
vit.pdf 第4页
vit.pdf 第2页
bert.pdf 第14页
bert.pdf 第8页</x:v>
      </x:c>
    </x:row>
    <x:row r="166" ht="95" customHeight="1">
      <x:c r="A166" s="2" t="str">
        <x:v>混合检索</x:v>
      </x:c>
      <x:c r="B166" s="2" t="str">
        <x:v>compression-02-zh</x:v>
      </x:c>
      <x:c r="C166" s="2" t="str">
        <x:v>zh-&gt;zh</x:v>
      </x:c>
      <x:c r="D166" s="2" t="str">
        <x:v>compression</x:v>
      </x:c>
      <x:c r="E166" s="19" t="str">
        <x:v>雷杰等的模型压缩综述中，OBD用哪一阶导数估计权重重要性？</x:v>
      </x:c>
      <x:c r="F166" s="7" t="n">
        <x:v>1</x:v>
      </x:c>
      <x:c r="G166" s="7" t="n">
        <x:v>1</x:v>
      </x:c>
      <x:c r="H166" s="7" t="n">
        <x:v>1</x:v>
      </x:c>
      <x:c r="I166" s="20" t="n">
        <x:f>IF(H166&gt;0,1,0)</x:f>
        <x:v>1</x:v>
      </x:c>
      <x:c r="J166" s="8" t="n">
        <x:f>H166/F166</x:f>
        <x:v>1</x:v>
      </x:c>
      <x:c r="K166" s="9" t="n">
        <x:f>IF(G166="",0,1/G166)</x:f>
        <x:v>1</x:v>
      </x:c>
      <x:c r="L166" s="10" t="n">
        <x:v>67.61099999857834</x:v>
      </x:c>
      <x:c r="M166" s="10" t="n">
        <x:v>69.6395000013581</x:v>
      </x:c>
      <x:c r="N166" s="10" t="n">
        <x:v>68.46537500314298</x:v>
      </x:c>
      <x:c r="O166" s="10" t="n">
        <x:f>AVERAGE(L166:N166)</x:f>
        <x:v>68.5719583343598</x:v>
      </x:c>
      <x:c r="P166" s="19" t="str">
        <x:v>02c45b6c8590
41ffe96cfb4c
f831cf138ddc
f8eae935d9cb
e922d086c1ef</x:v>
      </x:c>
      <x:c r="Q166" s="19" t="str">
        <x:v>compression.pdf 第3页
compression.pdf 第13页
compression.pdf 第1页
compression.pdf 第13页
compression.pdf 第15页</x:v>
      </x:c>
    </x:row>
    <x:row r="167" ht="95" customHeight="1">
      <x:c r="A167" s="2" t="str">
        <x:v>混合检索</x:v>
      </x:c>
      <x:c r="B167" s="2" t="str">
        <x:v>compression-02-en</x:v>
      </x:c>
      <x:c r="C167" s="2" t="str">
        <x:v>en-&gt;zh</x:v>
      </x:c>
      <x:c r="D167" s="2" t="str">
        <x:v>compression</x:v>
      </x:c>
      <x:c r="E167" s="19" t="str">
        <x:v>In Lei et al. model compression survey, which derivative order does OBD use to estimate weight importance?</x:v>
      </x:c>
      <x:c r="F167" s="7" t="n">
        <x:v>1</x:v>
      </x:c>
      <x:c r="G167" s="7"/>
      <x:c r="H167" s="7" t="n">
        <x:v>0</x:v>
      </x:c>
      <x:c r="I167" s="20" t="n">
        <x:f>IF(H167&gt;0,1,0)</x:f>
        <x:v>0</x:v>
      </x:c>
      <x:c r="J167" s="8" t="n">
        <x:f>H167/F167</x:f>
        <x:v>0</x:v>
      </x:c>
      <x:c r="K167" s="9" t="n">
        <x:f>IF(G167="",0,1/G167)</x:f>
        <x:v>0</x:v>
      </x:c>
      <x:c r="L167" s="10" t="n">
        <x:v>70.72262500150828</x:v>
      </x:c>
      <x:c r="M167" s="10" t="n">
        <x:v>71.24241700148559</x:v>
      </x:c>
      <x:c r="N167" s="10" t="n">
        <x:v>71.35175000075833</x:v>
      </x:c>
      <x:c r="O167" s="10" t="n">
        <x:f>AVERAGE(L167:N167)</x:f>
        <x:v>71.10559733458406</x:v>
      </x:c>
      <x:c r="P167" s="19" t="str">
        <x:v>963c8fcf1c8d
dbf2fcb223e4
35cf30cef3f1
37c1b833b7e6
b67093746da1</x:v>
      </x:c>
      <x:c r="Q167" s="19" t="str">
        <x:v>compression.pdf 第1页
bert.pdf 第13页
vit.pdf 第5页
attention.pdf 第5页
compression.pdf 第15页</x:v>
      </x:c>
    </x:row>
    <x:row r="168" ht="95" customHeight="1">
      <x:c r="A168" s="2" t="str">
        <x:v>混合检索</x:v>
      </x:c>
      <x:c r="B168" s="2" t="str">
        <x:v>compression-03-zh</x:v>
      </x:c>
      <x:c r="C168" s="2" t="str">
        <x:v>zh-&gt;zh</x:v>
      </x:c>
      <x:c r="D168" s="2" t="str">
        <x:v>compression</x:v>
      </x:c>
      <x:c r="E168" s="19" t="str">
        <x:v>雷杰等的模型压缩综述中，非结构化剪枝为什么难以直接并行加速？</x:v>
      </x:c>
      <x:c r="F168" s="7" t="n">
        <x:v>1</x:v>
      </x:c>
      <x:c r="G168" s="7" t="n">
        <x:v>2</x:v>
      </x:c>
      <x:c r="H168" s="7" t="n">
        <x:v>1</x:v>
      </x:c>
      <x:c r="I168" s="20" t="n">
        <x:f>IF(H168&gt;0,1,0)</x:f>
        <x:v>1</x:v>
      </x:c>
      <x:c r="J168" s="8" t="n">
        <x:f>H168/F168</x:f>
        <x:v>1</x:v>
      </x:c>
      <x:c r="K168" s="9" t="n">
        <x:f>IF(G168="",0,1/G168)</x:f>
        <x:v>0.5</x:v>
      </x:c>
      <x:c r="L168" s="10" t="n">
        <x:v>114.36808299913537</x:v>
      </x:c>
      <x:c r="M168" s="10" t="n">
        <x:v>70.43429099940113</x:v>
      </x:c>
      <x:c r="N168" s="10" t="n">
        <x:v>68.31575000251178</x:v>
      </x:c>
      <x:c r="O168" s="10" t="n">
        <x:f>AVERAGE(L168:N168)</x:f>
        <x:v>84.37270800034942</x:v>
      </x:c>
      <x:c r="P168" s="19" t="str">
        <x:v>02c45b6c8590
fc294e7efc80
737f9dcaecdd
41ffe96cfb4c
daeaed067c1d</x:v>
      </x:c>
      <x:c r="Q168" s="19" t="str">
        <x:v>compression.pdf 第3页
compression.pdf 第4页
compression.pdf 第12页
compression.pdf 第13页
compression.pdf 第14页</x:v>
      </x:c>
    </x:row>
    <x:row r="169" ht="95" customHeight="1">
      <x:c r="A169" s="2" t="str">
        <x:v>混合检索</x:v>
      </x:c>
      <x:c r="B169" s="2" t="str">
        <x:v>compression-03-en</x:v>
      </x:c>
      <x:c r="C169" s="2" t="str">
        <x:v>en-&gt;zh</x:v>
      </x:c>
      <x:c r="D169" s="2" t="str">
        <x:v>compression</x:v>
      </x:c>
      <x:c r="E169" s="19" t="str">
        <x:v>Why is unstructured pruning difficult to accelerate in parallel according to Lei et al. model compression survey?</x:v>
      </x:c>
      <x:c r="F169" s="7" t="n">
        <x:v>1</x:v>
      </x:c>
      <x:c r="G169" s="7"/>
      <x:c r="H169" s="7" t="n">
        <x:v>0</x:v>
      </x:c>
      <x:c r="I169" s="20" t="n">
        <x:f>IF(H169&gt;0,1,0)</x:f>
        <x:v>0</x:v>
      </x:c>
      <x:c r="J169" s="8" t="n">
        <x:f>H169/F169</x:f>
        <x:v>0</x:v>
      </x:c>
      <x:c r="K169" s="9" t="n">
        <x:f>IF(G169="",0,1/G169)</x:f>
        <x:v>0</x:v>
      </x:c>
      <x:c r="L169" s="10" t="n">
        <x:v>68.89945800139685</x:v>
      </x:c>
      <x:c r="M169" s="10" t="n">
        <x:v>74.4162500013772</x:v>
      </x:c>
      <x:c r="N169" s="10" t="n">
        <x:v>71.88862499970128</x:v>
      </x:c>
      <x:c r="O169" s="10" t="n">
        <x:f>AVERAGE(L169:N169)</x:f>
        <x:v>71.73477766749177</x:v>
      </x:c>
      <x:c r="P169" s="19" t="str">
        <x:v>963c8fcf1c8d
04d3be3431c4
2503bfe50ce3
19d0b670dc56
e6f32c7b359e</x:v>
      </x:c>
      <x:c r="Q169" s="19" t="str">
        <x:v>compression.pdf 第1页
compression.pdf 第15页
compression.pdf 第1页
bert.pdf 第5页
vit.pdf 第2页</x:v>
      </x:c>
    </x:row>
    <x:row r="170" ht="95" customHeight="1">
      <x:c r="A170" s="2" t="str">
        <x:v>混合检索</x:v>
      </x:c>
      <x:c r="B170" s="2" t="str">
        <x:v>compression-04-zh</x:v>
      </x:c>
      <x:c r="C170" s="2" t="str">
        <x:v>zh-&gt;zh</x:v>
      </x:c>
      <x:c r="D170" s="2" t="str">
        <x:v>compression</x:v>
      </x:c>
      <x:c r="E170" s="19" t="str">
        <x:v>雷杰等的模型压缩综述中，通道与卷积核粗粒度剪枝有什么部署优势？</x:v>
      </x:c>
      <x:c r="F170" s="7" t="n">
        <x:v>1</x:v>
      </x:c>
      <x:c r="G170" s="7" t="n">
        <x:v>1</x:v>
      </x:c>
      <x:c r="H170" s="7" t="n">
        <x:v>1</x:v>
      </x:c>
      <x:c r="I170" s="20" t="n">
        <x:f>IF(H170&gt;0,1,0)</x:f>
        <x:v>1</x:v>
      </x:c>
      <x:c r="J170" s="8" t="n">
        <x:f>H170/F170</x:f>
        <x:v>1</x:v>
      </x:c>
      <x:c r="K170" s="9" t="n">
        <x:f>IF(G170="",0,1/G170)</x:f>
        <x:v>1</x:v>
      </x:c>
      <x:c r="L170" s="10" t="n">
        <x:v>73.33604100131197</x:v>
      </x:c>
      <x:c r="M170" s="10" t="n">
        <x:v>70.13041599930148</x:v>
      </x:c>
      <x:c r="N170" s="10" t="n">
        <x:v>72.4587500008056</x:v>
      </x:c>
      <x:c r="O170" s="10" t="n">
        <x:f>AVERAGE(L170:N170)</x:f>
        <x:v>71.97506900047301</x:v>
      </x:c>
      <x:c r="P170" s="19" t="str">
        <x:v>5b79a0dea268
02c45b6c8590
41ffe96cfb4c
fc294e7efc80
f831cf138ddc</x:v>
      </x:c>
      <x:c r="Q170" s="19" t="str">
        <x:v>compression.pdf 第5页
compression.pdf 第3页
compression.pdf 第13页
compression.pdf 第4页
compression.pdf 第1页</x:v>
      </x:c>
    </x:row>
    <x:row r="171" ht="95" customHeight="1">
      <x:c r="A171" s="2" t="str">
        <x:v>混合检索</x:v>
      </x:c>
      <x:c r="B171" s="2" t="str">
        <x:v>compression-04-en</x:v>
      </x:c>
      <x:c r="C171" s="2" t="str">
        <x:v>en-&gt;zh</x:v>
      </x:c>
      <x:c r="D171" s="2" t="str">
        <x:v>compression</x:v>
      </x:c>
      <x:c r="E171" s="19" t="str">
        <x:v>What deployment advantage does coarse-grained channel and kernel pruning offer in Lei et al. model compression survey?</x:v>
      </x:c>
      <x:c r="F171" s="7" t="n">
        <x:v>1</x:v>
      </x:c>
      <x:c r="G171" s="7"/>
      <x:c r="H171" s="7" t="n">
        <x:v>0</x:v>
      </x:c>
      <x:c r="I171" s="20" t="n">
        <x:f>IF(H171&gt;0,1,0)</x:f>
        <x:v>0</x:v>
      </x:c>
      <x:c r="J171" s="8" t="n">
        <x:f>H171/F171</x:f>
        <x:v>0</x:v>
      </x:c>
      <x:c r="K171" s="9" t="n">
        <x:f>IF(G171="",0,1/G171)</x:f>
        <x:v>0</x:v>
      </x:c>
      <x:c r="L171" s="10" t="n">
        <x:v>69.86004200007301</x:v>
      </x:c>
      <x:c r="M171" s="10" t="n">
        <x:v>70.49800000095274</x:v>
      </x:c>
      <x:c r="N171" s="10" t="n">
        <x:v>72.30812499983585</x:v>
      </x:c>
      <x:c r="O171" s="10" t="n">
        <x:f>AVERAGE(L171:N171)</x:f>
        <x:v>70.88872233362054</x:v>
      </x:c>
      <x:c r="P171" s="19" t="str">
        <x:v>2503bfe50ce3
963c8fcf1c8d
04d3be3431c4
402ad760d7eb
bd8ada171092</x:v>
      </x:c>
      <x:c r="Q171" s="19" t="str">
        <x:v>compression.pdf 第1页
compression.pdf 第1页
compression.pdf 第15页
bert.pdf 第14页
bert.pdf 第2页</x:v>
      </x:c>
    </x:row>
    <x:row r="172" ht="95" customHeight="1">
      <x:c r="A172" s="2" t="str">
        <x:v>混合检索</x:v>
      </x:c>
      <x:c r="B172" s="2" t="str">
        <x:v>compression-05-zh</x:v>
      </x:c>
      <x:c r="C172" s="2" t="str">
        <x:v>zh-&gt;zh</x:v>
      </x:c>
      <x:c r="D172" s="2" t="str">
        <x:v>compression</x:v>
      </x:c>
      <x:c r="E172" s="19" t="str">
        <x:v>雷杰等的模型压缩综述怎样用教师模型指导学生模型？</x:v>
      </x:c>
      <x:c r="F172" s="7" t="n">
        <x:v>2</x:v>
      </x:c>
      <x:c r="G172" s="7" t="n">
        <x:v>5</x:v>
      </x:c>
      <x:c r="H172" s="7" t="n">
        <x:v>1</x:v>
      </x:c>
      <x:c r="I172" s="20" t="n">
        <x:f>IF(H172&gt;0,1,0)</x:f>
        <x:v>1</x:v>
      </x:c>
      <x:c r="J172" s="8" t="n">
        <x:f>H172/F172</x:f>
        <x:v>0.5</x:v>
      </x:c>
      <x:c r="K172" s="9" t="n">
        <x:f>IF(G172="",0,1/G172)</x:f>
        <x:v>0.2</x:v>
      </x:c>
      <x:c r="L172" s="10" t="n">
        <x:v>66.41483300336404</x:v>
      </x:c>
      <x:c r="M172" s="10" t="n">
        <x:v>68.73500000074273</x:v>
      </x:c>
      <x:c r="N172" s="10" t="n">
        <x:v>65.07629100087797</x:v>
      </x:c>
      <x:c r="O172" s="10" t="n">
        <x:f>AVERAGE(L172:N172)</x:f>
        <x:v>66.74204133499491</x:v>
      </x:c>
      <x:c r="P172" s="19" t="str">
        <x:v>91a31a82d1cc
24205e65477f
185b4a6d6dc1
64c53c006c94
24b1ddfc9896</x:v>
      </x:c>
      <x:c r="Q172" s="19" t="str">
        <x:v>compression.pdf 第7页
compression.pdf 第6页
compression.pdf 第7页
compression.pdf 第8页
compression.pdf 第6页</x:v>
      </x:c>
    </x:row>
    <x:row r="173" ht="95" customHeight="1">
      <x:c r="A173" s="2" t="str">
        <x:v>混合检索</x:v>
      </x:c>
      <x:c r="B173" s="2" t="str">
        <x:v>compression-05-en</x:v>
      </x:c>
      <x:c r="C173" s="2" t="str">
        <x:v>en-&gt;zh</x:v>
      </x:c>
      <x:c r="D173" s="2" t="str">
        <x:v>compression</x:v>
      </x:c>
      <x:c r="E173" s="19" t="str">
        <x:v>How does Lei et al. model compression survey describe a teacher model guiding a student model?</x:v>
      </x:c>
      <x:c r="F173" s="7" t="n">
        <x:v>2</x:v>
      </x:c>
      <x:c r="G173" s="7"/>
      <x:c r="H173" s="7" t="n">
        <x:v>0</x:v>
      </x:c>
      <x:c r="I173" s="20" t="n">
        <x:f>IF(H173&gt;0,1,0)</x:f>
        <x:v>0</x:v>
      </x:c>
      <x:c r="J173" s="8" t="n">
        <x:f>H173/F173</x:f>
        <x:v>0</x:v>
      </x:c>
      <x:c r="K173" s="9" t="n">
        <x:f>IF(G173="",0,1/G173)</x:f>
        <x:v>0</x:v>
      </x:c>
      <x:c r="L173" s="10" t="n">
        <x:v>63.70887500088429</x:v>
      </x:c>
      <x:c r="M173" s="10" t="n">
        <x:v>68.81787499878556</x:v>
      </x:c>
      <x:c r="N173" s="10" t="n">
        <x:v>65.78133300354239</x:v>
      </x:c>
      <x:c r="O173" s="10" t="n">
        <x:f>AVERAGE(L173:N173)</x:f>
        <x:v>66.10269433440408</x:v>
      </x:c>
      <x:c r="P173" s="19" t="str">
        <x:v>963c8fcf1c8d
a8c1579de182
b081197273f9
b67093746da1
e6f32c7b359e</x:v>
      </x:c>
      <x:c r="Q173" s="19" t="str">
        <x:v>compression.pdf 第1页
bert.pdf 第8页
bert.pdf 第12页
compression.pdf 第15页
vit.pdf 第2页</x:v>
      </x:c>
    </x:row>
    <x:row r="174" ht="95" customHeight="1">
      <x:c r="A174" s="2" t="str">
        <x:v>混合检索</x:v>
      </x:c>
      <x:c r="B174" s="2" t="str">
        <x:v>compression-06-zh</x:v>
      </x:c>
      <x:c r="C174" s="2" t="str">
        <x:v>zh-&gt;zh</x:v>
      </x:c>
      <x:c r="D174" s="2" t="str">
        <x:v>compression</x:v>
      </x:c>
      <x:c r="E174" s="19" t="str">
        <x:v>雷杰等的模型压缩综述中，FitNet如何处理教师与学生中间层维度不同？</x:v>
      </x:c>
      <x:c r="F174" s="7" t="n">
        <x:v>1</x:v>
      </x:c>
      <x:c r="G174" s="7" t="n">
        <x:v>2</x:v>
      </x:c>
      <x:c r="H174" s="7" t="n">
        <x:v>1</x:v>
      </x:c>
      <x:c r="I174" s="20" t="n">
        <x:f>IF(H174&gt;0,1,0)</x:f>
        <x:v>1</x:v>
      </x:c>
      <x:c r="J174" s="8" t="n">
        <x:f>H174/F174</x:f>
        <x:v>1</x:v>
      </x:c>
      <x:c r="K174" s="9" t="n">
        <x:f>IF(G174="",0,1/G174)</x:f>
        <x:v>0.5</x:v>
      </x:c>
      <x:c r="L174" s="10" t="n">
        <x:v>72.58524999997462</x:v>
      </x:c>
      <x:c r="M174" s="10" t="n">
        <x:v>73.12074999936158</x:v>
      </x:c>
      <x:c r="N174" s="10" t="n">
        <x:v>68.63608300045598</x:v>
      </x:c>
      <x:c r="O174" s="10" t="n">
        <x:f>AVERAGE(L174:N174)</x:f>
        <x:v>71.44736099993072</x:v>
      </x:c>
      <x:c r="P174" s="19" t="str">
        <x:v>91a31a82d1cc
992536c010bc
185b4a6d6dc1
f8eae935d9cb
24205e65477f</x:v>
      </x:c>
      <x:c r="Q174" s="19" t="str">
        <x:v>compression.pdf 第7页
compression.pdf 第7页
compression.pdf 第7页
compression.pdf 第13页
compression.pdf 第6页</x:v>
      </x:c>
    </x:row>
    <x:row r="175" ht="95" customHeight="1">
      <x:c r="A175" s="2" t="str">
        <x:v>混合检索</x:v>
      </x:c>
      <x:c r="B175" s="2" t="str">
        <x:v>compression-06-en</x:v>
      </x:c>
      <x:c r="C175" s="2" t="str">
        <x:v>en-&gt;zh</x:v>
      </x:c>
      <x:c r="D175" s="2" t="str">
        <x:v>compression</x:v>
      </x:c>
      <x:c r="E175" s="19" t="str">
        <x:v>How does FitNet handle different teacher and student intermediate dimensions in Lei et al. model compression survey?</x:v>
      </x:c>
      <x:c r="F175" s="7" t="n">
        <x:v>1</x:v>
      </x:c>
      <x:c r="G175" s="7" t="n">
        <x:v>2</x:v>
      </x:c>
      <x:c r="H175" s="7" t="n">
        <x:v>1</x:v>
      </x:c>
      <x:c r="I175" s="20" t="n">
        <x:f>IF(H175&gt;0,1,0)</x:f>
        <x:v>1</x:v>
      </x:c>
      <x:c r="J175" s="8" t="n">
        <x:f>H175/F175</x:f>
        <x:v>1</x:v>
      </x:c>
      <x:c r="K175" s="9" t="n">
        <x:f>IF(G175="",0,1/G175)</x:f>
        <x:v>0.5</x:v>
      </x:c>
      <x:c r="L175" s="10" t="n">
        <x:v>70.72245800009114</x:v>
      </x:c>
      <x:c r="M175" s="10" t="n">
        <x:v>71.32958299916936</x:v>
      </x:c>
      <x:c r="N175" s="10" t="n">
        <x:v>72.66075000006822</x:v>
      </x:c>
      <x:c r="O175" s="10" t="n">
        <x:f>AVERAGE(L175:N175)</x:f>
        <x:v>71.57093033310957</x:v>
      </x:c>
      <x:c r="P175" s="19" t="str">
        <x:v>963c8fcf1c8d
992536c010bc
185b4a6d6dc1
2208b499bb24
91a31a82d1cc</x:v>
      </x:c>
      <x:c r="Q175" s="19" t="str">
        <x:v>compression.pdf 第1页
compression.pdf 第7页
compression.pdf 第7页
vit.pdf 第5页
compression.pdf 第7页</x:v>
      </x:c>
    </x:row>
    <x:row r="176" ht="95" customHeight="1">
      <x:c r="A176" s="2" t="str">
        <x:v>混合检索</x:v>
      </x:c>
      <x:c r="B176" s="2" t="str">
        <x:v>compression-07-zh</x:v>
      </x:c>
      <x:c r="C176" s="2" t="str">
        <x:v>zh-&gt;zh</x:v>
      </x:c>
      <x:c r="D176" s="2" t="str">
        <x:v>compression</x:v>
      </x:c>
      <x:c r="E176" s="19" t="str">
        <x:v>雷杰等的模型压缩综述将哪种矩阵分解推广到卷积核低秩表示？</x:v>
      </x:c>
      <x:c r="F176" s="7" t="n">
        <x:v>1</x:v>
      </x:c>
      <x:c r="G176" s="7" t="n">
        <x:v>3</x:v>
      </x:c>
      <x:c r="H176" s="7" t="n">
        <x:v>1</x:v>
      </x:c>
      <x:c r="I176" s="20" t="n">
        <x:f>IF(H176&gt;0,1,0)</x:f>
        <x:v>1</x:v>
      </x:c>
      <x:c r="J176" s="8" t="n">
        <x:f>H176/F176</x:f>
        <x:v>1</x:v>
      </x:c>
      <x:c r="K176" s="9" t="n">
        <x:f>IF(G176="",0,1/G176)</x:f>
        <x:v>0.3333333333333333</x:v>
      </x:c>
      <x:c r="L176" s="10" t="n">
        <x:v>68.68558399946778</x:v>
      </x:c>
      <x:c r="M176" s="10" t="n">
        <x:v>68.39408300220384</x:v>
      </x:c>
      <x:c r="N176" s="10" t="n">
        <x:v>71.01095899997745</x:v>
      </x:c>
      <x:c r="O176" s="10" t="n">
        <x:f>AVERAGE(L176:N176)</x:f>
        <x:v>69.36354200054969</x:v>
      </x:c>
      <x:c r="P176" s="19" t="str">
        <x:v>5b79a0dea268
ff40e38329b9
1e4f7f7596ce
41ffe96cfb4c
eb1d3a2e228a</x:v>
      </x:c>
      <x:c r="Q176" s="19" t="str">
        <x:v>compression.pdf 第5页
compression.pdf 第9页
compression.pdf 第8页
compression.pdf 第13页
compression.pdf 第8页</x:v>
      </x:c>
    </x:row>
    <x:row r="177" ht="95" customHeight="1">
      <x:c r="A177" s="2" t="str">
        <x:v>混合检索</x:v>
      </x:c>
      <x:c r="B177" s="2" t="str">
        <x:v>compression-07-en</x:v>
      </x:c>
      <x:c r="C177" s="2" t="str">
        <x:v>en-&gt;zh</x:v>
      </x:c>
      <x:c r="D177" s="2" t="str">
        <x:v>compression</x:v>
      </x:c>
      <x:c r="E177" s="19" t="str">
        <x:v>Which matrix decomposition is extended to low-rank convolution kernels in Lei et al. model compression survey?</x:v>
      </x:c>
      <x:c r="F177" s="7" t="n">
        <x:v>1</x:v>
      </x:c>
      <x:c r="G177" s="7"/>
      <x:c r="H177" s="7" t="n">
        <x:v>0</x:v>
      </x:c>
      <x:c r="I177" s="20" t="n">
        <x:f>IF(H177&gt;0,1,0)</x:f>
        <x:v>0</x:v>
      </x:c>
      <x:c r="J177" s="8" t="n">
        <x:f>H177/F177</x:f>
        <x:v>0</x:v>
      </x:c>
      <x:c r="K177" s="9" t="n">
        <x:f>IF(G177="",0,1/G177)</x:f>
        <x:v>0</x:v>
      </x:c>
      <x:c r="L177" s="10" t="n">
        <x:v>71.21779199951561</x:v>
      </x:c>
      <x:c r="M177" s="10" t="n">
        <x:v>69.79308300287812</x:v>
      </x:c>
      <x:c r="N177" s="10" t="n">
        <x:v>71.35125000058906</x:v>
      </x:c>
      <x:c r="O177" s="10" t="n">
        <x:f>AVERAGE(L177:N177)</x:f>
        <x:v>70.78737500099426</x:v>
      </x:c>
      <x:c r="P177" s="19" t="str">
        <x:v>963c8fcf1c8d
cef9b40f06dd
2503bfe50ce3
a14727952238
843a208dcf9f</x:v>
      </x:c>
      <x:c r="Q177" s="19" t="str">
        <x:v>compression.pdf 第1页
vision_survey.pdf 第20页
compression.pdf 第1页
vision_survey.pdf 第21页
vit.pdf 第2页</x:v>
      </x:c>
    </x:row>
    <x:row r="178" ht="95" customHeight="1">
      <x:c r="A178" s="2" t="str">
        <x:v>混合检索</x:v>
      </x:c>
      <x:c r="B178" s="2" t="str">
        <x:v>compression-08-zh</x:v>
      </x:c>
      <x:c r="C178" s="2" t="str">
        <x:v>zh-&gt;zh</x:v>
      </x:c>
      <x:c r="D178" s="2" t="str">
        <x:v>compression</x:v>
      </x:c>
      <x:c r="E178" s="19" t="str">
        <x:v>雷杰等的模型压缩综述中，二值权重有哪些取值，SGD更新是否也二值化？</x:v>
      </x:c>
      <x:c r="F178" s="7" t="n">
        <x:v>1</x:v>
      </x:c>
      <x:c r="G178" s="7" t="n">
        <x:v>1</x:v>
      </x:c>
      <x:c r="H178" s="7" t="n">
        <x:v>1</x:v>
      </x:c>
      <x:c r="I178" s="20" t="n">
        <x:f>IF(H178&gt;0,1,0)</x:f>
        <x:v>1</x:v>
      </x:c>
      <x:c r="J178" s="8" t="n">
        <x:f>H178/F178</x:f>
        <x:v>1</x:v>
      </x:c>
      <x:c r="K178" s="9" t="n">
        <x:f>IF(G178="",0,1/G178)</x:f>
        <x:v>1</x:v>
      </x:c>
      <x:c r="L178" s="10" t="n">
        <x:v>72.43237500006217</x:v>
      </x:c>
      <x:c r="M178" s="10" t="n">
        <x:v>73.25374999709311</x:v>
      </x:c>
      <x:c r="N178" s="10" t="n">
        <x:v>70.82758300020942</x:v>
      </x:c>
      <x:c r="O178" s="10" t="n">
        <x:f>AVERAGE(L178:N178)</x:f>
        <x:v>72.17123599912156</x:v>
      </x:c>
      <x:c r="P178" s="19" t="str">
        <x:v>5ef634b107cb
02c45b6c8590
41ffe96cfb4c
44813f1edd13
cb5f93361f59</x:v>
      </x:c>
      <x:c r="Q178" s="19" t="str">
        <x:v>compression.pdf 第10页
compression.pdf 第3页
compression.pdf 第13页
compression.pdf 第10页
compression.pdf 第11页</x:v>
      </x:c>
    </x:row>
    <x:row r="179" ht="95" customHeight="1">
      <x:c r="A179" s="2" t="str">
        <x:v>混合检索</x:v>
      </x:c>
      <x:c r="B179" s="2" t="str">
        <x:v>compression-08-en</x:v>
      </x:c>
      <x:c r="C179" s="2" t="str">
        <x:v>en-&gt;zh</x:v>
      </x:c>
      <x:c r="D179" s="2" t="str">
        <x:v>compression</x:v>
      </x:c>
      <x:c r="E179" s="19" t="str">
        <x:v>In Lei et al. model compression survey, what values do binary weights take, and are SGD updates also binarized?</x:v>
      </x:c>
      <x:c r="F179" s="7" t="n">
        <x:v>1</x:v>
      </x:c>
      <x:c r="G179" s="7"/>
      <x:c r="H179" s="7" t="n">
        <x:v>0</x:v>
      </x:c>
      <x:c r="I179" s="20" t="n">
        <x:f>IF(H179&gt;0,1,0)</x:f>
        <x:v>0</x:v>
      </x:c>
      <x:c r="J179" s="8" t="n">
        <x:f>H179/F179</x:f>
        <x:v>0</x:v>
      </x:c>
      <x:c r="K179" s="9" t="n">
        <x:f>IF(G179="",0,1/G179)</x:f>
        <x:v>0</x:v>
      </x:c>
      <x:c r="L179" s="10" t="n">
        <x:v>71.84654099910404</x:v>
      </x:c>
      <x:c r="M179" s="10" t="n">
        <x:v>71.39174999974784</x:v>
      </x:c>
      <x:c r="N179" s="10" t="n">
        <x:v>70.00354100091499</x:v>
      </x:c>
      <x:c r="O179" s="10" t="n">
        <x:f>AVERAGE(L179:N179)</x:f>
        <x:v>71.08061066658895</x:v>
      </x:c>
      <x:c r="P179" s="19" t="str">
        <x:v>963c8fcf1c8d
b0e3ac9390a7
2503bfe50ce3
f1fc86fd30e3
b67093746da1</x:v>
      </x:c>
      <x:c r="Q179" s="19" t="str">
        <x:v>compression.pdf 第1页
compression.pdf 第16页
compression.pdf 第1页
bert.pdf 第14页
compression.pdf 第15页</x:v>
      </x:c>
    </x:row>
    <x:row r="180" ht="95" customHeight="1">
      <x:c r="A180" s="2" t="str">
        <x:v>混合检索</x:v>
      </x:c>
      <x:c r="B180" s="2" t="str">
        <x:v>vision_survey-01-zh</x:v>
      </x:c>
      <x:c r="C180" s="2" t="str">
        <x:v>zh-&gt;zh</x:v>
      </x:c>
      <x:c r="D180" s="2" t="str">
        <x:v>vision_survey</x:v>
      </x:c>
      <x:c r="E180" s="19" t="str">
        <x:v>田永林等的视觉Transformer综述中，Transformer和CNN怎样扩展感受野？</x:v>
      </x:c>
      <x:c r="F180" s="7" t="n">
        <x:v>1</x:v>
      </x:c>
      <x:c r="G180" s="7"/>
      <x:c r="H180" s="7" t="n">
        <x:v>0</x:v>
      </x:c>
      <x:c r="I180" s="20" t="n">
        <x:f>IF(H180&gt;0,1,0)</x:f>
        <x:v>0</x:v>
      </x:c>
      <x:c r="J180" s="8" t="n">
        <x:f>H180/F180</x:f>
        <x:v>0</x:v>
      </x:c>
      <x:c r="K180" s="9" t="n">
        <x:f>IF(G180="",0,1/G180)</x:f>
        <x:v>0</x:v>
      </x:c>
      <x:c r="L180" s="10" t="n">
        <x:v>68.48625000202446</x:v>
      </x:c>
      <x:c r="M180" s="10" t="n">
        <x:v>68.24891699943691</x:v>
      </x:c>
      <x:c r="N180" s="10" t="n">
        <x:v>73.10945800054469</x:v>
      </x:c>
      <x:c r="O180" s="10" t="n">
        <x:f>AVERAGE(L180:N180)</x:f>
        <x:v>69.94820833400202</x:v>
      </x:c>
      <x:c r="P180" s="19" t="str">
        <x:v>48fde759608a
708d54a64688
688d9d55c79d
17353483e587
ac03dc81db60</x:v>
      </x:c>
      <x:c r="Q180" s="19" t="str">
        <x:v>vision_survey.pdf 第1页
vision_survey.pdf 第19页
vision_survey.pdf 第17页
vision_survey.pdf 第1页
vision_survey.pdf 第2页</x:v>
      </x:c>
    </x:row>
    <x:row r="181" ht="95" customHeight="1">
      <x:c r="A181" s="2" t="str">
        <x:v>混合检索</x:v>
      </x:c>
      <x:c r="B181" s="2" t="str">
        <x:v>vision_survey-01-en</x:v>
      </x:c>
      <x:c r="C181" s="2" t="str">
        <x:v>en-&gt;zh</x:v>
      </x:c>
      <x:c r="D181" s="2" t="str">
        <x:v>vision_survey</x:v>
      </x:c>
      <x:c r="E181" s="19" t="str">
        <x:v>According to Tian et al. vision Transformer survey, how do Transformers and CNNs expand their receptive fields?</x:v>
      </x:c>
      <x:c r="F181" s="7" t="n">
        <x:v>1</x:v>
      </x:c>
      <x:c r="G181" s="7"/>
      <x:c r="H181" s="7" t="n">
        <x:v>0</x:v>
      </x:c>
      <x:c r="I181" s="20" t="n">
        <x:f>IF(H181&gt;0,1,0)</x:f>
        <x:v>0</x:v>
      </x:c>
      <x:c r="J181" s="8" t="n">
        <x:f>H181/F181</x:f>
        <x:v>0</x:v>
      </x:c>
      <x:c r="K181" s="9" t="n">
        <x:f>IF(G181="",0,1/G181)</x:f>
        <x:v>0</x:v>
      </x:c>
      <x:c r="L181" s="10" t="n">
        <x:v>71.20362500063493</x:v>
      </x:c>
      <x:c r="M181" s="10" t="n">
        <x:v>73.95824999912293</x:v>
      </x:c>
      <x:c r="N181" s="10" t="n">
        <x:v>71.49820800259477</x:v>
      </x:c>
      <x:c r="O181" s="10" t="n">
        <x:f>AVERAGE(L181:N181)</x:f>
        <x:v>72.22002766745088</x:v>
      </x:c>
      <x:c r="P181" s="19" t="str">
        <x:v>f6fa6b8498cb
83d1199a7c8e
b2c5ca4a2c2d
430cc231bdbc
69912204f088</x:v>
      </x:c>
      <x:c r="Q181" s="19" t="str">
        <x:v>vit.pdf 第2页
vision_survey.pdf 第19页
vit.pdf 第2页
vit.pdf 第1页
vit.pdf 第8页</x:v>
      </x:c>
    </x:row>
    <x:row r="182" ht="95" customHeight="1">
      <x:c r="A182" s="2" t="str">
        <x:v>混合检索</x:v>
      </x:c>
      <x:c r="B182" s="2" t="str">
        <x:v>vision_survey-02-zh</x:v>
      </x:c>
      <x:c r="C182" s="2" t="str">
        <x:v>zh-&gt;zh</x:v>
      </x:c>
      <x:c r="D182" s="2" t="str">
        <x:v>vision_survey</x:v>
      </x:c>
      <x:c r="E182" s="19" t="str">
        <x:v>田永林等的视觉Transformer综述中，注意力权重与卷积权重的动态性有什么差异？</x:v>
      </x:c>
      <x:c r="F182" s="7" t="n">
        <x:v>1</x:v>
      </x:c>
      <x:c r="G182" s="7" t="n">
        <x:v>1</x:v>
      </x:c>
      <x:c r="H182" s="7" t="n">
        <x:v>1</x:v>
      </x:c>
      <x:c r="I182" s="20" t="n">
        <x:f>IF(H182&gt;0,1,0)</x:f>
        <x:v>1</x:v>
      </x:c>
      <x:c r="J182" s="8" t="n">
        <x:f>H182/F182</x:f>
        <x:v>1</x:v>
      </x:c>
      <x:c r="K182" s="9" t="n">
        <x:f>IF(G182="",0,1/G182)</x:f>
        <x:v>1</x:v>
      </x:c>
      <x:c r="L182" s="10" t="n">
        <x:v>70.4407919984078</x:v>
      </x:c>
      <x:c r="M182" s="10" t="n">
        <x:v>71.0549159994116</x:v>
      </x:c>
      <x:c r="N182" s="10" t="n">
        <x:v>72.22512499720324</x:v>
      </x:c>
      <x:c r="O182" s="10" t="n">
        <x:f>AVERAGE(L182:N182)</x:f>
        <x:v>71.24027766500755</x:v>
      </x:c>
      <x:c r="P182" s="19" t="str">
        <x:v>7806d9463e35
48fde759608a
708d54a64688
40dfdb1c2e9f
df5f4497c074</x:v>
      </x:c>
      <x:c r="Q182" s="19" t="str">
        <x:v>vision_survey.pdf 第4页
vision_survey.pdf 第1页
vision_survey.pdf 第19页
vision_survey.pdf 第7页
vision_survey.pdf 第4页</x:v>
      </x:c>
    </x:row>
    <x:row r="183" ht="95" customHeight="1">
      <x:c r="A183" s="2" t="str">
        <x:v>混合检索</x:v>
      </x:c>
      <x:c r="B183" s="2" t="str">
        <x:v>vision_survey-02-en</x:v>
      </x:c>
      <x:c r="C183" s="2" t="str">
        <x:v>en-&gt;zh</x:v>
      </x:c>
      <x:c r="D183" s="2" t="str">
        <x:v>vision_survey</x:v>
      </x:c>
      <x:c r="E183" s="19" t="str">
        <x:v>How does weight dynamicity differ between attention and convolution in Tian et al. vision Transformer survey?</x:v>
      </x:c>
      <x:c r="F183" s="7" t="n">
        <x:v>1</x:v>
      </x:c>
      <x:c r="G183" s="7"/>
      <x:c r="H183" s="7" t="n">
        <x:v>0</x:v>
      </x:c>
      <x:c r="I183" s="20" t="n">
        <x:f>IF(H183&gt;0,1,0)</x:f>
        <x:v>0</x:v>
      </x:c>
      <x:c r="J183" s="8" t="n">
        <x:f>H183/F183</x:f>
        <x:v>0</x:v>
      </x:c>
      <x:c r="K183" s="9" t="n">
        <x:f>IF(G183="",0,1/G183)</x:f>
        <x:v>0</x:v>
      </x:c>
      <x:c r="L183" s="10" t="n">
        <x:v>68.62554200051818</x:v>
      </x:c>
      <x:c r="M183" s="10" t="n">
        <x:v>68.41008300034446</x:v>
      </x:c>
      <x:c r="N183" s="10" t="n">
        <x:v>73.56412499939324</x:v>
      </x:c>
      <x:c r="O183" s="10" t="n">
        <x:f>AVERAGE(L183:N183)</x:f>
        <x:v>70.19991666675196</x:v>
      </x:c>
      <x:c r="P183" s="19" t="str">
        <x:v>82cd75225d6b
69912204f088
37a60b5492e4
a297840b67f6
3af642c312d1</x:v>
      </x:c>
      <x:c r="Q183" s="19" t="str">
        <x:v>vision_survey.pdf 第20页
vit.pdf 第8页
cnn_survey.pdf 第20页
vision_survey.pdf 第20页
vit.pdf 第2页</x:v>
      </x:c>
    </x:row>
    <x:row r="184" ht="95" customHeight="1">
      <x:c r="A184" s="2" t="str">
        <x:v>混合检索</x:v>
      </x:c>
      <x:c r="B184" s="2" t="str">
        <x:v>vision_survey-03-zh</x:v>
      </x:c>
      <x:c r="C184" s="2" t="str">
        <x:v>zh-&gt;zh</x:v>
      </x:c>
      <x:c r="D184" s="2" t="str">
        <x:v>vision_survey</x:v>
      </x:c>
      <x:c r="E184" s="19" t="str">
        <x:v>田永林等的视觉Transformer综述指出ViT在计算、数据和训练上有哪些不足？</x:v>
      </x:c>
      <x:c r="F184" s="7" t="n">
        <x:v>1</x:v>
      </x:c>
      <x:c r="G184" s="7"/>
      <x:c r="H184" s="7" t="n">
        <x:v>0</x:v>
      </x:c>
      <x:c r="I184" s="20" t="n">
        <x:f>IF(H184&gt;0,1,0)</x:f>
        <x:v>0</x:v>
      </x:c>
      <x:c r="J184" s="8" t="n">
        <x:f>H184/F184</x:f>
        <x:v>0</x:v>
      </x:c>
      <x:c r="K184" s="9" t="n">
        <x:f>IF(G184="",0,1/G184)</x:f>
        <x:v>0</x:v>
      </x:c>
      <x:c r="L184" s="10" t="n">
        <x:v>72.45316599801299</x:v>
      </x:c>
      <x:c r="M184" s="10" t="n">
        <x:v>69.41325000298093</x:v>
      </x:c>
      <x:c r="N184" s="10" t="n">
        <x:v>71.42233299964573</x:v>
      </x:c>
      <x:c r="O184" s="10" t="n">
        <x:f>AVERAGE(L184:N184)</x:f>
        <x:v>71.09624966687988</x:v>
      </x:c>
      <x:c r="P184" s="19" t="str">
        <x:v>48fde759608a
ac03dc81db60
df5f4497c074
69912204f088
e639741a12ee</x:v>
      </x:c>
      <x:c r="Q184" s="19" t="str">
        <x:v>vision_survey.pdf 第1页
vision_survey.pdf 第2页
vision_survey.pdf 第4页
vit.pdf 第8页
vision_survey.pdf 第2页</x:v>
      </x:c>
    </x:row>
    <x:row r="185" ht="95" customHeight="1">
      <x:c r="A185" s="2" t="str">
        <x:v>混合检索</x:v>
      </x:c>
      <x:c r="B185" s="2" t="str">
        <x:v>vision_survey-03-en</x:v>
      </x:c>
      <x:c r="C185" s="2" t="str">
        <x:v>en-&gt;zh</x:v>
      </x:c>
      <x:c r="D185" s="2" t="str">
        <x:v>vision_survey</x:v>
      </x:c>
      <x:c r="E185" s="19" t="str">
        <x:v>What computation, data, and training weaknesses of ViT are identified in Tian et al. vision Transformer survey?</x:v>
      </x:c>
      <x:c r="F185" s="7" t="n">
        <x:v>1</x:v>
      </x:c>
      <x:c r="G185" s="7"/>
      <x:c r="H185" s="7" t="n">
        <x:v>0</x:v>
      </x:c>
      <x:c r="I185" s="20" t="n">
        <x:f>IF(H185&gt;0,1,0)</x:f>
        <x:v>0</x:v>
      </x:c>
      <x:c r="J185" s="8" t="n">
        <x:f>H185/F185</x:f>
        <x:v>0</x:v>
      </x:c>
      <x:c r="K185" s="9" t="n">
        <x:f>IF(G185="",0,1/G185)</x:f>
        <x:v>0</x:v>
      </x:c>
      <x:c r="L185" s="10" t="n">
        <x:v>66.62979199973051</x:v>
      </x:c>
      <x:c r="M185" s="10" t="n">
        <x:v>71.51941600022838</x:v>
      </x:c>
      <x:c r="N185" s="10" t="n">
        <x:v>71.28191700030584</x:v>
      </x:c>
      <x:c r="O185" s="10" t="n">
        <x:f>AVERAGE(L185:N185)</x:f>
        <x:v>69.81037500008824</x:v>
      </x:c>
      <x:c r="P185" s="19" t="str">
        <x:v>d13062a8f78c
b2c5ca4a2c2d
1301ce16c312
89290903d7fe
83d1199a7c8e</x:v>
      </x:c>
      <x:c r="Q185" s="19" t="str">
        <x:v>vit.pdf 第5页
vit.pdf 第2页
vit.pdf 第4页
vit.pdf 第9页
vision_survey.pdf 第19页</x:v>
      </x:c>
    </x:row>
    <x:row r="186" ht="95" customHeight="1">
      <x:c r="A186" s="2" t="str">
        <x:v>混合检索</x:v>
      </x:c>
      <x:c r="B186" s="2" t="str">
        <x:v>vision_survey-04-zh</x:v>
      </x:c>
      <x:c r="C186" s="2" t="str">
        <x:v>zh-&gt;zh</x:v>
      </x:c>
      <x:c r="D186" s="2" t="str">
        <x:v>vision_survey</x:v>
      </x:c>
      <x:c r="E186" s="19" t="str">
        <x:v>田永林等的视觉Transformer综述中，Swin怎样通过窗口降低注意力计算量？</x:v>
      </x:c>
      <x:c r="F186" s="7" t="n">
        <x:v>1</x:v>
      </x:c>
      <x:c r="G186" s="7" t="n">
        <x:v>1</x:v>
      </x:c>
      <x:c r="H186" s="7" t="n">
        <x:v>1</x:v>
      </x:c>
      <x:c r="I186" s="20" t="n">
        <x:f>IF(H186&gt;0,1,0)</x:f>
        <x:v>1</x:v>
      </x:c>
      <x:c r="J186" s="8" t="n">
        <x:f>H186/F186</x:f>
        <x:v>1</x:v>
      </x:c>
      <x:c r="K186" s="9" t="n">
        <x:f>IF(G186="",0,1/G186)</x:f>
        <x:v>1</x:v>
      </x:c>
      <x:c r="L186" s="10" t="n">
        <x:v>70.5842079987633</x:v>
      </x:c>
      <x:c r="M186" s="10" t="n">
        <x:v>72.8505410006619</x:v>
      </x:c>
      <x:c r="N186" s="10" t="n">
        <x:v>73.52399999945192</x:v>
      </x:c>
      <x:c r="O186" s="10" t="n">
        <x:f>AVERAGE(L186:N186)</x:f>
        <x:v>72.31958299962571</x:v>
      </x:c>
      <x:c r="P186" s="19" t="str">
        <x:v>ebf2c2354074
df5f4497c074
f01587576172
2eef08fe507d
36bcd9a8b40b</x:v>
      </x:c>
      <x:c r="Q186" s="19" t="str">
        <x:v>vision_survey.pdf 第4页
vision_survey.pdf 第4页
vision_survey.pdf 第4页
vision_survey.pdf 第5页
vision_survey.pdf 第7页</x:v>
      </x:c>
    </x:row>
    <x:row r="187" ht="95" customHeight="1">
      <x:c r="A187" s="2" t="str">
        <x:v>混合检索</x:v>
      </x:c>
      <x:c r="B187" s="2" t="str">
        <x:v>vision_survey-04-en</x:v>
      </x:c>
      <x:c r="C187" s="2" t="str">
        <x:v>en-&gt;zh</x:v>
      </x:c>
      <x:c r="D187" s="2" t="str">
        <x:v>vision_survey</x:v>
      </x:c>
      <x:c r="E187" s="19" t="str">
        <x:v>How does Swin reduce attention computation using windows in Tian et al. vision Transformer survey?</x:v>
      </x:c>
      <x:c r="F187" s="7" t="n">
        <x:v>1</x:v>
      </x:c>
      <x:c r="G187" s="7"/>
      <x:c r="H187" s="7" t="n">
        <x:v>0</x:v>
      </x:c>
      <x:c r="I187" s="20" t="n">
        <x:f>IF(H187&gt;0,1,0)</x:f>
        <x:v>0</x:v>
      </x:c>
      <x:c r="J187" s="8" t="n">
        <x:f>H187/F187</x:f>
        <x:v>0</x:v>
      </x:c>
      <x:c r="K187" s="9" t="n">
        <x:f>IF(G187="",0,1/G187)</x:f>
        <x:v>0</x:v>
      </x:c>
      <x:c r="L187" s="10" t="n">
        <x:v>65.77108399869758</x:v>
      </x:c>
      <x:c r="M187" s="10" t="n">
        <x:v>66.59579099869006</x:v>
      </x:c>
      <x:c r="N187" s="10" t="n">
        <x:v>66.97837499814341</x:v>
      </x:c>
      <x:c r="O187" s="10" t="n">
        <x:f>AVERAGE(L187:N187)</x:f>
        <x:v>66.44841666517702</x:v>
      </x:c>
      <x:c r="P187" s="19" t="str">
        <x:v>6c35cf93ae6c
3af642c312d1
69912204f088
83d1199a7c8e
c0f7198e6e1d</x:v>
      </x:c>
      <x:c r="Q187" s="19" t="str">
        <x:v>vision_survey.pdf 第19页
vit.pdf 第2页
vit.pdf 第8页
vision_survey.pdf 第19页
attention.pdf 第2页</x:v>
      </x:c>
    </x:row>
    <x:row r="188" ht="95" customHeight="1">
      <x:c r="A188" s="2" t="str">
        <x:v>混合检索</x:v>
      </x:c>
      <x:c r="B188" s="2" t="str">
        <x:v>vision_survey-05-zh</x:v>
      </x:c>
      <x:c r="C188" s="2" t="str">
        <x:v>zh-&gt;zh</x:v>
      </x:c>
      <x:c r="D188" s="2" t="str">
        <x:v>vision_survey</x:v>
      </x:c>
      <x:c r="E188" s="19" t="str">
        <x:v>田永林等的视觉Transformer综述列举了哪两类降低注意力复杂度的方法？</x:v>
      </x:c>
      <x:c r="F188" s="7" t="n">
        <x:v>1</x:v>
      </x:c>
      <x:c r="G188" s="7" t="n">
        <x:v>2</x:v>
      </x:c>
      <x:c r="H188" s="7" t="n">
        <x:v>1</x:v>
      </x:c>
      <x:c r="I188" s="20" t="n">
        <x:f>IF(H188&gt;0,1,0)</x:f>
        <x:v>1</x:v>
      </x:c>
      <x:c r="J188" s="8" t="n">
        <x:f>H188/F188</x:f>
        <x:v>1</x:v>
      </x:c>
      <x:c r="K188" s="9" t="n">
        <x:f>IF(G188="",0,1/G188)</x:f>
        <x:v>0.5</x:v>
      </x:c>
      <x:c r="L188" s="10" t="n">
        <x:v>68.55012500091107</x:v>
      </x:c>
      <x:c r="M188" s="10" t="n">
        <x:v>72.67524999770103</x:v>
      </x:c>
      <x:c r="N188" s="10" t="n">
        <x:v>74.01920900156256</x:v>
      </x:c>
      <x:c r="O188" s="10" t="n">
        <x:f>AVERAGE(L188:N188)</x:f>
        <x:v>71.74819466672488</x:v>
      </x:c>
      <x:c r="P188" s="19" t="str">
        <x:v>df5f4497c074
f01587576172
f2d7f5316027
ebf2c2354074
48fde759608a</x:v>
      </x:c>
      <x:c r="Q188" s="19" t="str">
        <x:v>vision_survey.pdf 第4页
vision_survey.pdf 第4页
vision_survey.pdf 第7页
vision_survey.pdf 第4页
vision_survey.pdf 第1页</x:v>
      </x:c>
    </x:row>
    <x:row r="189" ht="95" customHeight="1">
      <x:c r="A189" s="2" t="str">
        <x:v>混合检索</x:v>
      </x:c>
      <x:c r="B189" s="2" t="str">
        <x:v>vision_survey-05-en</x:v>
      </x:c>
      <x:c r="C189" s="2" t="str">
        <x:v>en-&gt;zh</x:v>
      </x:c>
      <x:c r="D189" s="2" t="str">
        <x:v>vision_survey</x:v>
      </x:c>
      <x:c r="E189" s="19" t="str">
        <x:v>Which two types of methods reduce attention complexity in Tian et al. vision Transformer survey?</x:v>
      </x:c>
      <x:c r="F189" s="7" t="n">
        <x:v>1</x:v>
      </x:c>
      <x:c r="G189" s="7"/>
      <x:c r="H189" s="7" t="n">
        <x:v>0</x:v>
      </x:c>
      <x:c r="I189" s="20" t="n">
        <x:f>IF(H189&gt;0,1,0)</x:f>
        <x:v>0</x:v>
      </x:c>
      <x:c r="J189" s="8" t="n">
        <x:f>H189/F189</x:f>
        <x:v>0</x:v>
      </x:c>
      <x:c r="K189" s="9" t="n">
        <x:f>IF(G189="",0,1/G189)</x:f>
        <x:v>0</x:v>
      </x:c>
      <x:c r="L189" s="10" t="n">
        <x:v>67.75745899722097</x:v>
      </x:c>
      <x:c r="M189" s="10" t="n">
        <x:v>69.00191699969582</x:v>
      </x:c>
      <x:c r="N189" s="10" t="n">
        <x:v>71.51366700054496</x:v>
      </x:c>
      <x:c r="O189" s="10" t="n">
        <x:f>AVERAGE(L189:N189)</x:f>
        <x:v>69.42434766582058</x:v>
      </x:c>
      <x:c r="P189" s="19" t="str">
        <x:v>3af642c312d1
83d1199a7c8e
6a7c2a4fa97a
a297840b67f6
d424e63fbb7f</x:v>
      </x:c>
      <x:c r="Q189" s="19" t="str">
        <x:v>vit.pdf 第2页
vision_survey.pdf 第19页
vit.pdf 第6页
vision_survey.pdf 第20页
bert.pdf 第2页</x:v>
      </x:c>
    </x:row>
    <x:row r="190" ht="95" customHeight="1">
      <x:c r="A190" s="2" t="str">
        <x:v>混合检索</x:v>
      </x:c>
      <x:c r="B190" s="2" t="str">
        <x:v>vision_survey-06-zh</x:v>
      </x:c>
      <x:c r="C190" s="2" t="str">
        <x:v>zh-&gt;zh</x:v>
      </x:c>
      <x:c r="D190" s="2" t="str">
        <x:v>vision_survey</x:v>
      </x:c>
      <x:c r="E190" s="19" t="str">
        <x:v>田永林等的视觉Transformer综述中，DETR怎样将预测和真值对应起来？</x:v>
      </x:c>
      <x:c r="F190" s="7" t="n">
        <x:v>1</x:v>
      </x:c>
      <x:c r="G190" s="7"/>
      <x:c r="H190" s="7" t="n">
        <x:v>0</x:v>
      </x:c>
      <x:c r="I190" s="20" t="n">
        <x:f>IF(H190&gt;0,1,0)</x:f>
        <x:v>0</x:v>
      </x:c>
      <x:c r="J190" s="8" t="n">
        <x:f>H190/F190</x:f>
        <x:v>0</x:v>
      </x:c>
      <x:c r="K190" s="9" t="n">
        <x:f>IF(G190="",0,1/G190)</x:f>
        <x:v>0</x:v>
      </x:c>
      <x:c r="L190" s="10" t="n">
        <x:v>71.03483399987454</x:v>
      </x:c>
      <x:c r="M190" s="10" t="n">
        <x:v>72.90079100130242</x:v>
      </x:c>
      <x:c r="N190" s="10" t="n">
        <x:v>70.21879199965042</x:v>
      </x:c>
      <x:c r="O190" s="10" t="n">
        <x:f>AVERAGE(L190:N190)</x:f>
        <x:v>71.38480566694246</x:v>
      </x:c>
      <x:c r="P190" s="19" t="str">
        <x:v>708d54a64688
48fde759608a
17353483e587
773e67c921d4
c3bd02de8685</x:v>
      </x:c>
      <x:c r="Q190" s="19" t="str">
        <x:v>vision_survey.pdf 第19页
vision_survey.pdf 第1页
vision_survey.pdf 第1页
vision_survey.pdf 第13页
vision_survey.pdf 第13页</x:v>
      </x:c>
    </x:row>
    <x:row r="191" ht="95" customHeight="1">
      <x:c r="A191" s="2" t="str">
        <x:v>混合检索</x:v>
      </x:c>
      <x:c r="B191" s="2" t="str">
        <x:v>vision_survey-06-en</x:v>
      </x:c>
      <x:c r="C191" s="2" t="str">
        <x:v>en-&gt;zh</x:v>
      </x:c>
      <x:c r="D191" s="2" t="str">
        <x:v>vision_survey</x:v>
      </x:c>
      <x:c r="E191" s="19" t="str">
        <x:v>How does DETR assign predictions to ground truth in Tian et al. vision Transformer survey?</x:v>
      </x:c>
      <x:c r="F191" s="7" t="n">
        <x:v>1</x:v>
      </x:c>
      <x:c r="G191" s="7"/>
      <x:c r="H191" s="7" t="n">
        <x:v>0</x:v>
      </x:c>
      <x:c r="I191" s="20" t="n">
        <x:f>IF(H191&gt;0,1,0)</x:f>
        <x:v>0</x:v>
      </x:c>
      <x:c r="J191" s="8" t="n">
        <x:f>H191/F191</x:f>
        <x:v>0</x:v>
      </x:c>
      <x:c r="K191" s="9" t="n">
        <x:f>IF(G191="",0,1/G191)</x:f>
        <x:v>0</x:v>
      </x:c>
      <x:c r="L191" s="10" t="n">
        <x:v>70.78858300155844</x:v>
      </x:c>
      <x:c r="M191" s="10" t="n">
        <x:v>67.78304099861998</x:v>
      </x:c>
      <x:c r="N191" s="10" t="n">
        <x:v>71.9146660012484</x:v>
      </x:c>
      <x:c r="O191" s="10" t="n">
        <x:f>AVERAGE(L191:N191)</x:f>
        <x:v>70.16209666714228</x:v>
      </x:c>
      <x:c r="P191" s="19" t="str">
        <x:v>83d1199a7c8e
153bf2d1ab88
69912204f088
dc2abc609519
cf3a136f6c1c</x:v>
      </x:c>
      <x:c r="Q191" s="19" t="str">
        <x:v>vision_survey.pdf 第19页
vision_survey.pdf 第1页
vit.pdf 第8页
vision_survey.pdf 第19页
vision_survey.pdf 第19页</x:v>
      </x:c>
    </x:row>
    <x:row r="192" ht="95" customHeight="1">
      <x:c r="A192" s="2" t="str">
        <x:v>混合检索</x:v>
      </x:c>
      <x:c r="B192" s="2" t="str">
        <x:v>vision_survey-07-zh</x:v>
      </x:c>
      <x:c r="C192" s="2" t="str">
        <x:v>zh-&gt;zh</x:v>
      </x:c>
      <x:c r="D192" s="2" t="str">
        <x:v>vision_survey</x:v>
      </x:c>
      <x:c r="E192" s="19" t="str">
        <x:v>田永林等的视觉Transformer综述中，SETR采用哪些解码方案产生分割结果？</x:v>
      </x:c>
      <x:c r="F192" s="7" t="n">
        <x:v>1</x:v>
      </x:c>
      <x:c r="G192" s="7" t="n">
        <x:v>1</x:v>
      </x:c>
      <x:c r="H192" s="7" t="n">
        <x:v>1</x:v>
      </x:c>
      <x:c r="I192" s="20" t="n">
        <x:f>IF(H192&gt;0,1,0)</x:f>
        <x:v>1</x:v>
      </x:c>
      <x:c r="J192" s="8" t="n">
        <x:f>H192/F192</x:f>
        <x:v>1</x:v>
      </x:c>
      <x:c r="K192" s="9" t="n">
        <x:f>IF(G192="",0,1/G192)</x:f>
        <x:v>1</x:v>
      </x:c>
      <x:c r="L192" s="10" t="n">
        <x:v>67.97083299898077</x:v>
      </x:c>
      <x:c r="M192" s="10" t="n">
        <x:v>72.14383400059887</x:v>
      </x:c>
      <x:c r="N192" s="10" t="n">
        <x:v>72.39479099735036</x:v>
      </x:c>
      <x:c r="O192" s="10" t="n">
        <x:f>AVERAGE(L192:N192)</x:f>
        <x:v>70.83648599897667</x:v>
      </x:c>
      <x:c r="P192" s="19" t="str">
        <x:v>670f5ed67a6d
ba08f20acd91
17353483e587
ac03dc81db60
132453b8955b</x:v>
      </x:c>
      <x:c r="Q192" s="19" t="str">
        <x:v>vision_survey.pdf 第17页
vision_survey.pdf 第18页
vision_survey.pdf 第1页
vision_survey.pdf 第2页
vision_survey.pdf 第12页</x:v>
      </x:c>
    </x:row>
    <x:row r="193" ht="95" customHeight="1">
      <x:c r="A193" s="2" t="str">
        <x:v>混合检索</x:v>
      </x:c>
      <x:c r="B193" s="2" t="str">
        <x:v>vision_survey-07-en</x:v>
      </x:c>
      <x:c r="C193" s="2" t="str">
        <x:v>en-&gt;zh</x:v>
      </x:c>
      <x:c r="D193" s="2" t="str">
        <x:v>vision_survey</x:v>
      </x:c>
      <x:c r="E193" s="19" t="str">
        <x:v>Which decoding schemes does SETR use for segmentation in Tian et al. vision Transformer survey?</x:v>
      </x:c>
      <x:c r="F193" s="7" t="n">
        <x:v>1</x:v>
      </x:c>
      <x:c r="G193" s="7"/>
      <x:c r="H193" s="7" t="n">
        <x:v>0</x:v>
      </x:c>
      <x:c r="I193" s="20" t="n">
        <x:f>IF(H193&gt;0,1,0)</x:f>
        <x:v>0</x:v>
      </x:c>
      <x:c r="J193" s="8" t="n">
        <x:f>H193/F193</x:f>
        <x:v>0</x:v>
      </x:c>
      <x:c r="K193" s="9" t="n">
        <x:f>IF(G193="",0,1/G193)</x:f>
        <x:v>0</x:v>
      </x:c>
      <x:c r="L193" s="10" t="n">
        <x:v>69.71620799959055</x:v>
      </x:c>
      <x:c r="M193" s="10" t="n">
        <x:v>75.37195899931248</x:v>
      </x:c>
      <x:c r="N193" s="10" t="n">
        <x:v>67.88249999954132</x:v>
      </x:c>
      <x:c r="O193" s="10" t="n">
        <x:f>AVERAGE(L193:N193)</x:f>
        <x:v>70.99022233281478</x:v>
      </x:c>
      <x:c r="P193" s="19" t="str">
        <x:v>83d1199a7c8e
a89c0259f5be
153bf2d1ab88
5f53804e097e
74c08ebb3bde</x:v>
      </x:c>
      <x:c r="Q193" s="19" t="str">
        <x:v>vision_survey.pdf 第19页
vit.pdf 第14页
vision_survey.pdf 第1页
vision_survey.pdf 第22页
vision_survey.pdf 第22页</x:v>
      </x:c>
    </x:row>
    <x:row r="194" ht="95" customHeight="1">
      <x:c r="A194" s="2" t="str">
        <x:v>混合检索</x:v>
      </x:c>
      <x:c r="B194" s="2" t="str">
        <x:v>vision_survey-08-zh</x:v>
      </x:c>
      <x:c r="C194" s="2" t="str">
        <x:v>zh-&gt;zh</x:v>
      </x:c>
      <x:c r="D194" s="2" t="str">
        <x:v>vision_survey</x:v>
      </x:c>
      <x:c r="E194" s="19" t="str">
        <x:v>田永林等的视觉Transformer综述中，SegFormer如何保留多尺度特征并去除位置编码？</x:v>
      </x:c>
      <x:c r="F194" s="7" t="n">
        <x:v>1</x:v>
      </x:c>
      <x:c r="G194" s="7" t="n">
        <x:v>5</x:v>
      </x:c>
      <x:c r="H194" s="7" t="n">
        <x:v>1</x:v>
      </x:c>
      <x:c r="I194" s="20" t="n">
        <x:f>IF(H194&gt;0,1,0)</x:f>
        <x:v>1</x:v>
      </x:c>
      <x:c r="J194" s="8" t="n">
        <x:f>H194/F194</x:f>
        <x:v>1</x:v>
      </x:c>
      <x:c r="K194" s="9" t="n">
        <x:f>IF(G194="",0,1/G194)</x:f>
        <x:v>0.2</x:v>
      </x:c>
      <x:c r="L194" s="10" t="n">
        <x:v>124.35729199933121</x:v>
      </x:c>
      <x:c r="M194" s="10" t="n">
        <x:v>73.7852499987639</x:v>
      </x:c>
      <x:c r="N194" s="10" t="n">
        <x:v>122.09612500009825</x:v>
      </x:c>
      <x:c r="O194" s="10" t="n">
        <x:f>AVERAGE(L194:N194)</x:f>
        <x:v>106.74622233273112</x:v>
      </x:c>
      <x:c r="P194" s="19" t="str">
        <x:v>b5dad46f8fd0
132453b8955b
b48ce56cc71a
468f8bc26e15
670f5ed67a6d</x:v>
      </x:c>
      <x:c r="Q194" s="19" t="str">
        <x:v>vision_survey.pdf 第5页
vision_survey.pdf 第12页
vision_survey.pdf 第9页
vision_survey.pdf 第20页
vision_survey.pdf 第17页</x:v>
      </x:c>
    </x:row>
    <x:row r="195" ht="95" customHeight="1">
      <x:c r="A195" s="2" t="str">
        <x:v>混合检索</x:v>
      </x:c>
      <x:c r="B195" s="2" t="str">
        <x:v>vision_survey-08-en</x:v>
      </x:c>
      <x:c r="C195" s="2" t="str">
        <x:v>en-&gt;zh</x:v>
      </x:c>
      <x:c r="D195" s="2" t="str">
        <x:v>vision_survey</x:v>
      </x:c>
      <x:c r="E195" s="19" t="str">
        <x:v>How does SegFormer preserve multiscale features and remove position encodings in Tian et al. vision Transformer survey?</x:v>
      </x:c>
      <x:c r="F195" s="7" t="n">
        <x:v>1</x:v>
      </x:c>
      <x:c r="G195" s="7"/>
      <x:c r="H195" s="7" t="n">
        <x:v>0</x:v>
      </x:c>
      <x:c r="I195" s="20" t="n">
        <x:f>IF(H195&gt;0,1,0)</x:f>
        <x:v>0</x:v>
      </x:c>
      <x:c r="J195" s="8" t="n">
        <x:f>H195/F195</x:f>
        <x:v>0</x:v>
      </x:c>
      <x:c r="K195" s="9" t="n">
        <x:f>IF(G195="",0,1/G195)</x:f>
        <x:v>0</x:v>
      </x:c>
      <x:c r="L195" s="10" t="n">
        <x:v>71.74537500031875</x:v>
      </x:c>
      <x:c r="M195" s="10" t="n">
        <x:v>69.47545799994259</x:v>
      </x:c>
      <x:c r="N195" s="10" t="n">
        <x:v>71.0564169967256</x:v>
      </x:c>
      <x:c r="O195" s="10" t="n">
        <x:f>AVERAGE(L195:N195)</x:f>
        <x:v>70.75908333232898</x:v>
      </x:c>
      <x:c r="P195" s="19" t="str">
        <x:v>83d1199a7c8e
5b02dff2de83
b52508095ab7
6a7c2a4fa97a
a297840b67f6</x:v>
      </x:c>
      <x:c r="Q195" s="19" t="str">
        <x:v>vision_survey.pdf 第19页
vit.pdf 第4页
vision_survey.pdf 第21页
vit.pdf 第6页
vision_survey.pdf 第20页</x:v>
      </x:c>
    </x:row>
    <x:row r="196" ht="95" customHeight="1">
      <x:c r="A196" s="2" t="str">
        <x:v>混合+重排序</x:v>
      </x:c>
      <x:c r="B196" s="2" t="str">
        <x:v>attention-01-zh</x:v>
      </x:c>
      <x:c r="C196" s="2" t="str">
        <x:v>zh-&gt;en</x:v>
      </x:c>
      <x:c r="D196" s="2" t="str">
        <x:v>attention</x:v>
      </x:c>
      <x:c r="E196" s="19" t="str">
        <x:v>原始Transformer编码器堆叠了多少层？</x:v>
      </x:c>
      <x:c r="F196" s="7" t="n">
        <x:v>1</x:v>
      </x:c>
      <x:c r="G196" s="7" t="n">
        <x:v>1</x:v>
      </x:c>
      <x:c r="H196" s="7" t="n">
        <x:v>1</x:v>
      </x:c>
      <x:c r="I196" s="20" t="n">
        <x:f>IF(H196&gt;0,1,0)</x:f>
        <x:v>1</x:v>
      </x:c>
      <x:c r="J196" s="8" t="n">
        <x:f>H196/F196</x:f>
        <x:v>1</x:v>
      </x:c>
      <x:c r="K196" s="9" t="n">
        <x:f>IF(G196="",0,1/G196)</x:f>
        <x:v>1</x:v>
      </x:c>
      <x:c r="L196" s="10" t="n">
        <x:v>1484.596791997319</x:v>
      </x:c>
      <x:c r="M196" s="10" t="n">
        <x:v>1532.0245419970888</x:v>
      </x:c>
      <x:c r="N196" s="10" t="n">
        <x:v>1475.6504580000183</x:v>
      </x:c>
      <x:c r="O196" s="10" t="n">
        <x:f>AVERAGE(L196:N196)</x:f>
        <x:v>1497.4239306648087</x:v>
      </x:c>
      <x:c r="P196" s="19" t="str">
        <x:v>92f8ad03bc04
b6d06d6818f5
6eab2dd1fd9a
33c362adeeae
061049af4729</x:v>
      </x:c>
      <x:c r="Q196" s="19" t="str">
        <x:v>attention.pdf 第3页
vision_survey.pdf 第2页
vision_survey.pdf 第12页
bert.pdf 第3页
attention.pdf 第8页</x:v>
      </x:c>
    </x:row>
    <x:row r="197" ht="95" customHeight="1">
      <x:c r="A197" s="2" t="str">
        <x:v>混合+重排序</x:v>
      </x:c>
      <x:c r="B197" s="2" t="str">
        <x:v>attention-01-en</x:v>
      </x:c>
      <x:c r="C197" s="2" t="str">
        <x:v>en-&gt;en</x:v>
      </x:c>
      <x:c r="D197" s="2" t="str">
        <x:v>attention</x:v>
      </x:c>
      <x:c r="E197" s="19" t="str">
        <x:v>How many identical encoder layers are stacked in the original Transformer?</x:v>
      </x:c>
      <x:c r="F197" s="7" t="n">
        <x:v>1</x:v>
      </x:c>
      <x:c r="G197" s="7" t="n">
        <x:v>1</x:v>
      </x:c>
      <x:c r="H197" s="7" t="n">
        <x:v>1</x:v>
      </x:c>
      <x:c r="I197" s="20" t="n">
        <x:f>IF(H197&gt;0,1,0)</x:f>
        <x:v>1</x:v>
      </x:c>
      <x:c r="J197" s="8" t="n">
        <x:f>H197/F197</x:f>
        <x:v>1</x:v>
      </x:c>
      <x:c r="K197" s="9" t="n">
        <x:f>IF(G197="",0,1/G197)</x:f>
        <x:v>1</x:v>
      </x:c>
      <x:c r="L197" s="10" t="n">
        <x:v>705.41966699966</x:v>
      </x:c>
      <x:c r="M197" s="10" t="n">
        <x:v>699.2802499989921</x:v>
      </x:c>
      <x:c r="N197" s="10" t="n">
        <x:v>696.3297919974138</x:v>
      </x:c>
      <x:c r="O197" s="10" t="n">
        <x:f>AVERAGE(L197:N197)</x:f>
        <x:v>700.343236332022</x:v>
      </x:c>
      <x:c r="P197" s="19" t="str">
        <x:v>92f8ad03bc04
6bf22889f352
adfb6984b369
061049af4729
9e10368c4228</x:v>
      </x:c>
      <x:c r="Q197" s="19" t="str">
        <x:v>attention.pdf 第3页
attention.pdf 第3页
vit.pdf 第3页
attention.pdf 第8页
bert.pdf 第3页</x:v>
      </x:c>
    </x:row>
    <x:row r="198" ht="95" customHeight="1">
      <x:c r="A198" s="2" t="str">
        <x:v>混合+重排序</x:v>
      </x:c>
      <x:c r="B198" s="2" t="str">
        <x:v>attention-02-zh</x:v>
      </x:c>
      <x:c r="C198" s="2" t="str">
        <x:v>zh-&gt;en</x:v>
      </x:c>
      <x:c r="D198" s="2" t="str">
        <x:v>attention</x:v>
      </x:c>
      <x:c r="E198" s="19" t="str">
        <x:v>原始Transformer用了多少个注意力头，每个头的键和值维度是多少？</x:v>
      </x:c>
      <x:c r="F198" s="7" t="n">
        <x:v>1</x:v>
      </x:c>
      <x:c r="G198" s="7"/>
      <x:c r="H198" s="7" t="n">
        <x:v>0</x:v>
      </x:c>
      <x:c r="I198" s="20" t="n">
        <x:f>IF(H198&gt;0,1,0)</x:f>
        <x:v>0</x:v>
      </x:c>
      <x:c r="J198" s="8" t="n">
        <x:f>H198/F198</x:f>
        <x:v>0</x:v>
      </x:c>
      <x:c r="K198" s="9" t="n">
        <x:f>IF(G198="",0,1/G198)</x:f>
        <x:v>0</x:v>
      </x:c>
      <x:c r="L198" s="10" t="n">
        <x:v>1485.2980830000888</x:v>
      </x:c>
      <x:c r="M198" s="10" t="n">
        <x:v>1487.9881249980826</x:v>
      </x:c>
      <x:c r="N198" s="10" t="n">
        <x:v>1461.1894589979784</x:v>
      </x:c>
      <x:c r="O198" s="10" t="n">
        <x:f>AVERAGE(L198:N198)</x:f>
        <x:v>1478.1585556653833</x:v>
      </x:c>
      <x:c r="P198" s="19" t="str">
        <x:v>4ee4a24a628e
63af7bf26e9e
7a8104b7b265
9ba28ace2d13
df5f4497c074</x:v>
      </x:c>
      <x:c r="Q198" s="19" t="str">
        <x:v>vision_survey.pdf 第3页
vision_survey.pdf 第7页
vision_survey.pdf 第3页
vision_survey.pdf 第5页
vision_survey.pdf 第4页</x:v>
      </x:c>
    </x:row>
    <x:row r="199" ht="95" customHeight="1">
      <x:c r="A199" s="2" t="str">
        <x:v>混合+重排序</x:v>
      </x:c>
      <x:c r="B199" s="2" t="str">
        <x:v>attention-02-en</x:v>
      </x:c>
      <x:c r="C199" s="2" t="str">
        <x:v>en-&gt;en</x:v>
      </x:c>
      <x:c r="D199" s="2" t="str">
        <x:v>attention</x:v>
      </x:c>
      <x:c r="E199" s="19" t="str">
        <x:v>How many attention heads does the original Transformer use, and what are the key and value dimensions per head?</x:v>
      </x:c>
      <x:c r="F199" s="7" t="n">
        <x:v>1</x:v>
      </x:c>
      <x:c r="G199" s="7" t="n">
        <x:v>4</x:v>
      </x:c>
      <x:c r="H199" s="7" t="n">
        <x:v>1</x:v>
      </x:c>
      <x:c r="I199" s="20" t="n">
        <x:f>IF(H199&gt;0,1,0)</x:f>
        <x:v>1</x:v>
      </x:c>
      <x:c r="J199" s="8" t="n">
        <x:f>H199/F199</x:f>
        <x:v>1</x:v>
      </x:c>
      <x:c r="K199" s="9" t="n">
        <x:f>IF(G199="",0,1/G199)</x:f>
        <x:v>0.25</x:v>
      </x:c>
      <x:c r="L199" s="10" t="n">
        <x:v>817.8075830001035</x:v>
      </x:c>
      <x:c r="M199" s="10" t="n">
        <x:v>862.8710830016644</x:v>
      </x:c>
      <x:c r="N199" s="10" t="n">
        <x:v>815.3532079995784</x:v>
      </x:c>
      <x:c r="O199" s="10" t="n">
        <x:f>AVERAGE(L199:N199)</x:f>
        <x:v>832.0106246671154</x:v>
      </x:c>
      <x:c r="P199" s="19" t="str">
        <x:v>3c0d73d07217
9e6c9400a815
9d7aacec5476
24be9fd29302
33c362adeeae</x:v>
      </x:c>
      <x:c r="Q199" s="19" t="str">
        <x:v>attention.pdf 第9页
attention.pdf 第14页
attention.pdf 第5页
attention.pdf 第5页
bert.pdf 第3页</x:v>
      </x:c>
    </x:row>
    <x:row r="200" ht="95" customHeight="1">
      <x:c r="A200" s="2" t="str">
        <x:v>混合+重排序</x:v>
      </x:c>
      <x:c r="B200" s="2" t="str">
        <x:v>attention-03-zh</x:v>
      </x:c>
      <x:c r="C200" s="2" t="str">
        <x:v>zh-&gt;en</x:v>
      </x:c>
      <x:c r="D200" s="2" t="str">
        <x:v>attention</x:v>
      </x:c>
      <x:c r="E200" s="19" t="str">
        <x:v>Attention Is All You Need如何用三角函数表示序列位置？</x:v>
      </x:c>
      <x:c r="F200" s="7" t="n">
        <x:v>2</x:v>
      </x:c>
      <x:c r="G200" s="7"/>
      <x:c r="H200" s="7" t="n">
        <x:v>0</x:v>
      </x:c>
      <x:c r="I200" s="20" t="n">
        <x:f>IF(H200&gt;0,1,0)</x:f>
        <x:v>0</x:v>
      </x:c>
      <x:c r="J200" s="8" t="n">
        <x:f>H200/F200</x:f>
        <x:v>0</x:v>
      </x:c>
      <x:c r="K200" s="9" t="n">
        <x:f>IF(G200="",0,1/G200)</x:f>
        <x:v>0</x:v>
      </x:c>
      <x:c r="L200" s="10" t="n">
        <x:v>1581.327208001312</x:v>
      </x:c>
      <x:c r="M200" s="10" t="n">
        <x:v>1573.0560830015747</x:v>
      </x:c>
      <x:c r="N200" s="10" t="n">
        <x:v>1583.7764159987273</x:v>
      </x:c>
      <x:c r="O200" s="10" t="n">
        <x:f>AVERAGE(L200:N200)</x:f>
        <x:v>1579.386569000538</x:v>
      </x:c>
      <x:c r="P200" s="19" t="str">
        <x:v>91c50ae1ad15
45f023e01607
ce612f43af28
ad1529a5a14b
59c17d4c9b04</x:v>
      </x:c>
      <x:c r="Q200" s="19" t="str">
        <x:v>attention.pdf 第6页
attention.pdf 第2页
vision_survey.pdf 第8页
vision_survey.pdf 第3页
attention.pdf 第3页</x:v>
      </x:c>
    </x:row>
    <x:row r="201" ht="95" customHeight="1">
      <x:c r="A201" s="2" t="str">
        <x:v>混合+重排序</x:v>
      </x:c>
      <x:c r="B201" s="2" t="str">
        <x:v>attention-03-en</x:v>
      </x:c>
      <x:c r="C201" s="2" t="str">
        <x:v>en-&gt;en</x:v>
      </x:c>
      <x:c r="D201" s="2" t="str">
        <x:v>attention</x:v>
      </x:c>
      <x:c r="E201" s="19" t="str">
        <x:v>How does Attention Is All You Need represent token positions with trigonometric functions?</x:v>
      </x:c>
      <x:c r="F201" s="7" t="n">
        <x:v>2</x:v>
      </x:c>
      <x:c r="G201" s="7" t="n">
        <x:v>1</x:v>
      </x:c>
      <x:c r="H201" s="7" t="n">
        <x:v>1</x:v>
      </x:c>
      <x:c r="I201" s="20" t="n">
        <x:f>IF(H201&gt;0,1,0)</x:f>
        <x:v>1</x:v>
      </x:c>
      <x:c r="J201" s="8" t="n">
        <x:f>H201/F201</x:f>
        <x:v>0.5</x:v>
      </x:c>
      <x:c r="K201" s="9" t="n">
        <x:f>IF(G201="",0,1/G201)</x:f>
        <x:v>1</x:v>
      </x:c>
      <x:c r="L201" s="10" t="n">
        <x:v>683.0664170011005</x:v>
      </x:c>
      <x:c r="M201" s="10" t="n">
        <x:v>680.6663329989533</x:v>
      </x:c>
      <x:c r="N201" s="10" t="n">
        <x:v>675.2387500018813</x:v>
      </x:c>
      <x:c r="O201" s="10" t="n">
        <x:f>AVERAGE(L201:N201)</x:f>
        <x:v>679.6571666673117</x:v>
      </x:c>
      <x:c r="P201" s="19" t="str">
        <x:v>2c13b9df6937
45f023e01607
9d7e6e10604a
9f231b96c598
fba1d724b223</x:v>
      </x:c>
      <x:c r="Q201" s="19" t="str">
        <x:v>attention.pdf 第6页
attention.pdf 第2页
bert.pdf 第11页
vit.pdf 第12页
bert.pdf 第4页</x:v>
      </x:c>
    </x:row>
    <x:row r="202" ht="95" customHeight="1">
      <x:c r="A202" s="2" t="str">
        <x:v>混合+重排序</x:v>
      </x:c>
      <x:c r="B202" s="2" t="str">
        <x:v>attention-04-zh</x:v>
      </x:c>
      <x:c r="C202" s="2" t="str">
        <x:v>zh-&gt;en</x:v>
      </x:c>
      <x:c r="D202" s="2" t="str">
        <x:v>attention</x:v>
      </x:c>
      <x:c r="E202" s="19" t="str">
        <x:v>Attention Is All You Need使用的优化器及两个动量参数是什么？</x:v>
      </x:c>
      <x:c r="F202" s="7" t="n">
        <x:v>1</x:v>
      </x:c>
      <x:c r="G202" s="7"/>
      <x:c r="H202" s="7" t="n">
        <x:v>0</x:v>
      </x:c>
      <x:c r="I202" s="20" t="n">
        <x:f>IF(H202&gt;0,1,0)</x:f>
        <x:v>0</x:v>
      </x:c>
      <x:c r="J202" s="8" t="n">
        <x:f>H202/F202</x:f>
        <x:v>0</x:v>
      </x:c>
      <x:c r="K202" s="9" t="n">
        <x:f>IF(G202="",0,1/G202)</x:f>
        <x:v>0</x:v>
      </x:c>
      <x:c r="L202" s="10" t="n">
        <x:v>1452.3696249998466</x:v>
      </x:c>
      <x:c r="M202" s="10" t="n">
        <x:v>1443.1665410011192</x:v>
      </x:c>
      <x:c r="N202" s="10" t="n">
        <x:v>1441.9727499989676</x:v>
      </x:c>
      <x:c r="O202" s="10" t="n">
        <x:f>AVERAGE(L202:N202)</x:f>
        <x:v>1445.8363053333112</x:v>
      </x:c>
      <x:c r="P202" s="19" t="str">
        <x:v>d3fc82a0a82c
7ae52080397d
b48ce56cc71a
45f023e01607
dcc8dd7fac71</x:v>
      </x:c>
      <x:c r="Q202" s="19" t="str">
        <x:v>attention.pdf 第4页
attention.pdf 第5页
vision_survey.pdf 第9页
attention.pdf 第2页
compression.pdf 第3页</x:v>
      </x:c>
    </x:row>
    <x:row r="203" ht="95" customHeight="1">
      <x:c r="A203" s="2" t="str">
        <x:v>混合+重排序</x:v>
      </x:c>
      <x:c r="B203" s="2" t="str">
        <x:v>attention-04-en</x:v>
      </x:c>
      <x:c r="C203" s="2" t="str">
        <x:v>en-&gt;en</x:v>
      </x:c>
      <x:c r="D203" s="2" t="str">
        <x:v>attention</x:v>
      </x:c>
      <x:c r="E203" s="19" t="str">
        <x:v>Which optimizer and two beta parameters are used in Attention Is All You Need?</x:v>
      </x:c>
      <x:c r="F203" s="7" t="n">
        <x:v>1</x:v>
      </x:c>
      <x:c r="G203" s="7"/>
      <x:c r="H203" s="7" t="n">
        <x:v>0</x:v>
      </x:c>
      <x:c r="I203" s="20" t="n">
        <x:f>IF(H203&gt;0,1,0)</x:f>
        <x:v>0</x:v>
      </x:c>
      <x:c r="J203" s="8" t="n">
        <x:f>H203/F203</x:f>
        <x:v>0</x:v>
      </x:c>
      <x:c r="K203" s="9" t="n">
        <x:f>IF(G203="",0,1/G203)</x:f>
        <x:v>0</x:v>
      </x:c>
      <x:c r="L203" s="10" t="n">
        <x:v>825.0429159998021</x:v>
      </x:c>
      <x:c r="M203" s="10" t="n">
        <x:v>764.6538749977481</x:v>
      </x:c>
      <x:c r="N203" s="10" t="n">
        <x:v>766.3177920003363</x:v>
      </x:c>
      <x:c r="O203" s="10" t="n">
        <x:f>AVERAGE(L203:N203)</x:f>
        <x:v>785.3381943326289</x:v>
      </x:c>
      <x:c r="P203" s="19" t="str">
        <x:v>9f231b96c598
0687e5649013
9d7e6e10604a
45f023e01607
f0ee92251d85</x:v>
      </x:c>
      <x:c r="Q203" s="19" t="str">
        <x:v>vit.pdf 第12页
attention.pdf 第1页
bert.pdf 第11页
attention.pdf 第2页
attention.pdf 第2页</x:v>
      </x:c>
    </x:row>
    <x:row r="204" ht="95" customHeight="1">
      <x:c r="A204" s="2" t="str">
        <x:v>混合+重排序</x:v>
      </x:c>
      <x:c r="B204" s="2" t="str">
        <x:v>attention-05-zh</x:v>
      </x:c>
      <x:c r="C204" s="2" t="str">
        <x:v>zh-&gt;en</x:v>
      </x:c>
      <x:c r="D204" s="2" t="str">
        <x:v>attention</x:v>
      </x:c>
      <x:c r="E204" s="19" t="str">
        <x:v>Attention Is All You Need使用多大的标签平滑值，它对困惑度和BLEU有何影响？</x:v>
      </x:c>
      <x:c r="F204" s="7" t="n">
        <x:v>1</x:v>
      </x:c>
      <x:c r="G204" s="7"/>
      <x:c r="H204" s="7" t="n">
        <x:v>0</x:v>
      </x:c>
      <x:c r="I204" s="20" t="n">
        <x:f>IF(H204&gt;0,1,0)</x:f>
        <x:v>0</x:v>
      </x:c>
      <x:c r="J204" s="8" t="n">
        <x:f>H204/F204</x:f>
        <x:v>0</x:v>
      </x:c>
      <x:c r="K204" s="9" t="n">
        <x:f>IF(G204="",0,1/G204)</x:f>
        <x:v>0</x:v>
      </x:c>
      <x:c r="L204" s="10" t="n">
        <x:v>1512.560666000354</x:v>
      </x:c>
      <x:c r="M204" s="10" t="n">
        <x:v>1506.2190839998948</x:v>
      </x:c>
      <x:c r="N204" s="10" t="n">
        <x:v>1484.559332999197</x:v>
      </x:c>
      <x:c r="O204" s="10" t="n">
        <x:f>AVERAGE(L204:N204)</x:f>
        <x:v>1501.113027666482</x:v>
      </x:c>
      <x:c r="P204" s="19" t="str">
        <x:v>3c0d73d07217
0687e5649013
ea6aadd549ae
2eef08fe507d
5c79955f1235</x:v>
      </x:c>
      <x:c r="Q204" s="19" t="str">
        <x:v>attention.pdf 第9页
attention.pdf 第1页
vit.pdf 第17页
vision_survey.pdf 第5页
cnn_survey.pdf 第12页</x:v>
      </x:c>
    </x:row>
    <x:row r="205" ht="95" customHeight="1">
      <x:c r="A205" s="2" t="str">
        <x:v>混合+重排序</x:v>
      </x:c>
      <x:c r="B205" s="2" t="str">
        <x:v>attention-05-en</x:v>
      </x:c>
      <x:c r="C205" s="2" t="str">
        <x:v>en-&gt;en</x:v>
      </x:c>
      <x:c r="D205" s="2" t="str">
        <x:v>attention</x:v>
      </x:c>
      <x:c r="E205" s="19" t="str">
        <x:v>What label smoothing value is used in Attention Is All You Need, and how does it affect perplexity and BLEU?</x:v>
      </x:c>
      <x:c r="F205" s="7" t="n">
        <x:v>1</x:v>
      </x:c>
      <x:c r="G205" s="7" t="n">
        <x:v>1</x:v>
      </x:c>
      <x:c r="H205" s="7" t="n">
        <x:v>1</x:v>
      </x:c>
      <x:c r="I205" s="20" t="n">
        <x:f>IF(H205&gt;0,1,0)</x:f>
        <x:v>1</x:v>
      </x:c>
      <x:c r="J205" s="8" t="n">
        <x:f>H205/F205</x:f>
        <x:v>1</x:v>
      </x:c>
      <x:c r="K205" s="9" t="n">
        <x:f>IF(G205="",0,1/G205)</x:f>
        <x:v>1</x:v>
      </x:c>
      <x:c r="L205" s="10" t="n">
        <x:v>733.2621250025113</x:v>
      </x:c>
      <x:c r="M205" s="10" t="n">
        <x:v>730.4145000016433</x:v>
      </x:c>
      <x:c r="N205" s="10" t="n">
        <x:v>781.5603329981968</x:v>
      </x:c>
      <x:c r="O205" s="10" t="n">
        <x:f>AVERAGE(L205:N205)</x:f>
        <x:v>748.4123193341171</x:v>
      </x:c>
      <x:c r="P205" s="19" t="str">
        <x:v>5c3387930c38
0687e5649013
9f231b96c598
9d7e6e10604a
3c0d73d07217</x:v>
      </x:c>
      <x:c r="Q205" s="19" t="str">
        <x:v>attention.pdf 第8页
attention.pdf 第1页
vit.pdf 第12页
bert.pdf 第11页
attention.pdf 第9页</x:v>
      </x:c>
    </x:row>
    <x:row r="206" ht="95" customHeight="1">
      <x:c r="A206" s="2" t="str">
        <x:v>混合+重排序</x:v>
      </x:c>
      <x:c r="B206" s="2" t="str">
        <x:v>attention-06-zh</x:v>
      </x:c>
      <x:c r="C206" s="2" t="str">
        <x:v>zh-&gt;en</x:v>
      </x:c>
      <x:c r="D206" s="2" t="str">
        <x:v>attention</x:v>
      </x:c>
      <x:c r="E206" s="19" t="str">
        <x:v>原始Transformer解码器怎样避免看到尚未生成的词？</x:v>
      </x:c>
      <x:c r="F206" s="7" t="n">
        <x:v>2</x:v>
      </x:c>
      <x:c r="G206" s="7"/>
      <x:c r="H206" s="7" t="n">
        <x:v>0</x:v>
      </x:c>
      <x:c r="I206" s="20" t="n">
        <x:f>IF(H206&gt;0,1,0)</x:f>
        <x:v>0</x:v>
      </x:c>
      <x:c r="J206" s="8" t="n">
        <x:f>H206/F206</x:f>
        <x:v>0</x:v>
      </x:c>
      <x:c r="K206" s="9" t="n">
        <x:f>IF(G206="",0,1/G206)</x:f>
        <x:v>0</x:v>
      </x:c>
      <x:c r="L206" s="10" t="n">
        <x:v>1459.1408749984112</x:v>
      </x:c>
      <x:c r="M206" s="10" t="n">
        <x:v>1422.6541659991199</x:v>
      </x:c>
      <x:c r="N206" s="10" t="n">
        <x:v>1421.6286250011763</x:v>
      </x:c>
      <x:c r="O206" s="10" t="n">
        <x:f>AVERAGE(L206:N206)</x:f>
        <x:v>1434.4745553329024</x:v>
      </x:c>
      <x:c r="P206" s="19" t="str">
        <x:v>2ef7c88c1608
670f5ed67a6d
6eab2dd1fd9a
2eef08fe507d
b6d06d6818f5</x:v>
      </x:c>
      <x:c r="Q206" s="19" t="str">
        <x:v>vision_survey.pdf 第14页
vision_survey.pdf 第17页
vision_survey.pdf 第12页
vision_survey.pdf 第5页
vision_survey.pdf 第2页</x:v>
      </x:c>
    </x:row>
    <x:row r="207" ht="95" customHeight="1">
      <x:c r="A207" s="2" t="str">
        <x:v>混合+重排序</x:v>
      </x:c>
      <x:c r="B207" s="2" t="str">
        <x:v>attention-06-en</x:v>
      </x:c>
      <x:c r="C207" s="2" t="str">
        <x:v>en-&gt;en</x:v>
      </x:c>
      <x:c r="D207" s="2" t="str">
        <x:v>attention</x:v>
      </x:c>
      <x:c r="E207" s="19" t="str">
        <x:v>How does the original Transformer decoder prevent attending to future tokens?</x:v>
      </x:c>
      <x:c r="F207" s="7" t="n">
        <x:v>2</x:v>
      </x:c>
      <x:c r="G207" s="7" t="n">
        <x:v>3</x:v>
      </x:c>
      <x:c r="H207" s="7" t="n">
        <x:v>1</x:v>
      </x:c>
      <x:c r="I207" s="20" t="n">
        <x:f>IF(H207&gt;0,1,0)</x:f>
        <x:v>1</x:v>
      </x:c>
      <x:c r="J207" s="8" t="n">
        <x:f>H207/F207</x:f>
        <x:v>0.5</x:v>
      </x:c>
      <x:c r="K207" s="9" t="n">
        <x:f>IF(G207="",0,1/G207)</x:f>
        <x:v>0.3333333333333333</x:v>
      </x:c>
      <x:c r="L207" s="10" t="n">
        <x:v>624.8043330015207</x:v>
      </x:c>
      <x:c r="M207" s="10" t="n">
        <x:v>626.9144999969285</x:v>
      </x:c>
      <x:c r="N207" s="10" t="n">
        <x:v>634.0005000020028</x:v>
      </x:c>
      <x:c r="O207" s="10" t="n">
        <x:f>AVERAGE(L207:N207)</x:f>
        <x:v>628.5731110001507</x:v>
      </x:c>
      <x:c r="P207" s="19" t="str">
        <x:v>38a5178c2dd3
b1be54a299af
59c17d4c9b04
9d7aacec5476
12b90829f29b</x:v>
      </x:c>
      <x:c r="Q207" s="19" t="str">
        <x:v>bert.pdf 第4页
attention.pdf 第5页
attention.pdf 第3页
attention.pdf 第5页
attention.pdf 第7页</x:v>
      </x:c>
    </x:row>
    <x:row r="208" ht="95" customHeight="1">
      <x:c r="A208" s="2" t="str">
        <x:v>混合+重排序</x:v>
      </x:c>
      <x:c r="B208" s="2" t="str">
        <x:v>attention-07-zh</x:v>
      </x:c>
      <x:c r="C208" s="2" t="str">
        <x:v>zh-&gt;en</x:v>
      </x:c>
      <x:c r="D208" s="2" t="str">
        <x:v>attention</x:v>
      </x:c>
      <x:c r="E208" s="19" t="str">
        <x:v>Attention Is All You Need的英法训练集规模和词表大小分别是多少？</x:v>
      </x:c>
      <x:c r="F208" s="7" t="n">
        <x:v>1</x:v>
      </x:c>
      <x:c r="G208" s="7" t="n">
        <x:v>1</x:v>
      </x:c>
      <x:c r="H208" s="7" t="n">
        <x:v>1</x:v>
      </x:c>
      <x:c r="I208" s="20" t="n">
        <x:f>IF(H208&gt;0,1,0)</x:f>
        <x:v>1</x:v>
      </x:c>
      <x:c r="J208" s="8" t="n">
        <x:f>H208/F208</x:f>
        <x:v>1</x:v>
      </x:c>
      <x:c r="K208" s="9" t="n">
        <x:f>IF(G208="",0,1/G208)</x:f>
        <x:v>1</x:v>
      </x:c>
      <x:c r="L208" s="10" t="n">
        <x:v>1536.431625001569</x:v>
      </x:c>
      <x:c r="M208" s="10" t="n">
        <x:v>1527.5554999971064</x:v>
      </x:c>
      <x:c r="N208" s="10" t="n">
        <x:v>1515.5169579993526</x:v>
      </x:c>
      <x:c r="O208" s="10" t="n">
        <x:f>AVERAGE(L208:N208)</x:f>
        <x:v>1526.5013609993428</x:v>
      </x:c>
      <x:c r="P208" s="19" t="str">
        <x:v>9047ed5ba1da
f35535367846
5c79955f1235
39edd173b9c7
65b420cbde70</x:v>
      </x:c>
      <x:c r="Q208" s="19" t="str">
        <x:v>attention.pdf 第7页
cnn_survey.pdf 第16页
cnn_survey.pdf 第12页
bert.pdf 第14页
cnn_survey.pdf 第10页</x:v>
      </x:c>
    </x:row>
    <x:row r="209" ht="95" customHeight="1">
      <x:c r="A209" s="2" t="str">
        <x:v>混合+重排序</x:v>
      </x:c>
      <x:c r="B209" s="2" t="str">
        <x:v>attention-07-en</x:v>
      </x:c>
      <x:c r="C209" s="2" t="str">
        <x:v>en-&gt;en</x:v>
      </x:c>
      <x:c r="D209" s="2" t="str">
        <x:v>attention</x:v>
      </x:c>
      <x:c r="E209" s="19" t="str">
        <x:v>What are the English-French training corpus size and vocabulary size in Attention Is All You Need?</x:v>
      </x:c>
      <x:c r="F209" s="7" t="n">
        <x:v>1</x:v>
      </x:c>
      <x:c r="G209" s="7" t="n">
        <x:v>1</x:v>
      </x:c>
      <x:c r="H209" s="7" t="n">
        <x:v>1</x:v>
      </x:c>
      <x:c r="I209" s="20" t="n">
        <x:f>IF(H209&gt;0,1,0)</x:f>
        <x:v>1</x:v>
      </x:c>
      <x:c r="J209" s="8" t="n">
        <x:f>H209/F209</x:f>
        <x:v>1</x:v>
      </x:c>
      <x:c r="K209" s="9" t="n">
        <x:f>IF(G209="",0,1/G209)</x:f>
        <x:v>1</x:v>
      </x:c>
      <x:c r="L209" s="10" t="n">
        <x:v>786.3564580002276</x:v>
      </x:c>
      <x:c r="M209" s="10" t="n">
        <x:v>730.7568750002247</x:v>
      </x:c>
      <x:c r="N209" s="10" t="n">
        <x:v>733.1475829996634</x:v>
      </x:c>
      <x:c r="O209" s="10" t="n">
        <x:f>AVERAGE(L209:N209)</x:f>
        <x:v>750.0869720000386</x:v>
      </x:c>
      <x:c r="P209" s="19" t="str">
        <x:v>9047ed5ba1da
9f231b96c598
0687e5649013
9d7e6e10604a
3eaef451b505</x:v>
      </x:c>
      <x:c r="Q209" s="19" t="str">
        <x:v>attention.pdf 第7页
vit.pdf 第12页
attention.pdf 第1页
bert.pdf 第11页
bert.pdf 第5页</x:v>
      </x:c>
    </x:row>
    <x:row r="210" ht="95" customHeight="1">
      <x:c r="A210" s="2" t="str">
        <x:v>混合+重排序</x:v>
      </x:c>
      <x:c r="B210" s="2" t="str">
        <x:v>attention-08-zh</x:v>
      </x:c>
      <x:c r="C210" s="2" t="str">
        <x:v>zh-&gt;en</x:v>
      </x:c>
      <x:c r="D210" s="2" t="str">
        <x:v>attention</x:v>
      </x:c>
      <x:c r="E210" s="19" t="str">
        <x:v>原始Transformer的子层输出如何结合残差连接与归一化？</x:v>
      </x:c>
      <x:c r="F210" s="7" t="n">
        <x:v>1</x:v>
      </x:c>
      <x:c r="G210" s="7"/>
      <x:c r="H210" s="7" t="n">
        <x:v>0</x:v>
      </x:c>
      <x:c r="I210" s="20" t="n">
        <x:f>IF(H210&gt;0,1,0)</x:f>
        <x:v>0</x:v>
      </x:c>
      <x:c r="J210" s="8" t="n">
        <x:f>H210/F210</x:f>
        <x:v>0</x:v>
      </x:c>
      <x:c r="K210" s="9" t="n">
        <x:f>IF(G210="",0,1/G210)</x:f>
        <x:v>0</x:v>
      </x:c>
      <x:c r="L210" s="10" t="n">
        <x:v>1655.5291670010774</x:v>
      </x:c>
      <x:c r="M210" s="10" t="n">
        <x:v>1654.6904999995604</x:v>
      </x:c>
      <x:c r="N210" s="10" t="n">
        <x:v>1642.7420410000195</x:v>
      </x:c>
      <x:c r="O210" s="10" t="n">
        <x:f>AVERAGE(L210:N210)</x:f>
        <x:v>1650.9872360002191</x:v>
      </x:c>
      <x:c r="P210" s="19" t="str">
        <x:v>62413fdcc435
9b691fff25d7
caf41a180249
1ac4c718865d
6eab2dd1fd9a</x:v>
      </x:c>
      <x:c r="Q210" s="19" t="str">
        <x:v>vision_survey.pdf 第3页
cnn_survey.pdf 第7页
cnn_survey.pdf 第12页
vision_survey.pdf 第5页
vision_survey.pdf 第12页</x:v>
      </x:c>
    </x:row>
    <x:row r="211" ht="95" customHeight="1">
      <x:c r="A211" s="2" t="str">
        <x:v>混合+重排序</x:v>
      </x:c>
      <x:c r="B211" s="2" t="str">
        <x:v>attention-08-en</x:v>
      </x:c>
      <x:c r="C211" s="2" t="str">
        <x:v>en-&gt;en</x:v>
      </x:c>
      <x:c r="D211" s="2" t="str">
        <x:v>attention</x:v>
      </x:c>
      <x:c r="E211" s="19" t="str">
        <x:v>How are residual connections and normalization combined around sublayers in the original Transformer?</x:v>
      </x:c>
      <x:c r="F211" s="7" t="n">
        <x:v>1</x:v>
      </x:c>
      <x:c r="G211" s="7" t="n">
        <x:v>1</x:v>
      </x:c>
      <x:c r="H211" s="7" t="n">
        <x:v>1</x:v>
      </x:c>
      <x:c r="I211" s="20" t="n">
        <x:f>IF(H211&gt;0,1,0)</x:f>
        <x:v>1</x:v>
      </x:c>
      <x:c r="J211" s="8" t="n">
        <x:f>H211/F211</x:f>
        <x:v>1</x:v>
      </x:c>
      <x:c r="K211" s="9" t="n">
        <x:f>IF(G211="",0,1/G211)</x:f>
        <x:v>1</x:v>
      </x:c>
      <x:c r="L211" s="10" t="n">
        <x:v>811.4810419974674</x:v>
      </x:c>
      <x:c r="M211" s="10" t="n">
        <x:v>804.3861249971087</x:v>
      </x:c>
      <x:c r="N211" s="10" t="n">
        <x:v>799.1458750002494</x:v>
      </x:c>
      <x:c r="O211" s="10" t="n">
        <x:f>AVERAGE(L211:N211)</x:f>
        <x:v>805.0043473316085</x:v>
      </x:c>
      <x:c r="P211" s="19" t="str">
        <x:v>3886ea477e1a
45f023e01607
6bf22889f352
061049af4729
92f8ad03bc04</x:v>
      </x:c>
      <x:c r="Q211" s="19" t="str">
        <x:v>attention.pdf 第3页
attention.pdf 第2页
attention.pdf 第3页
attention.pdf 第8页
attention.pdf 第3页</x:v>
      </x:c>
    </x:row>
    <x:row r="212" ht="95" customHeight="1">
      <x:c r="A212" s="2" t="str">
        <x:v>混合+重排序</x:v>
      </x:c>
      <x:c r="B212" s="2" t="str">
        <x:v>bert-01-zh</x:v>
      </x:c>
      <x:c r="C212" s="2" t="str">
        <x:v>zh-&gt;en</x:v>
      </x:c>
      <x:c r="D212" s="2" t="str">
        <x:v>bert</x:v>
      </x:c>
      <x:c r="E212" s="19" t="str">
        <x:v>BERT-base和BERT-large分别有多少层、隐藏维度和注意力头？</x:v>
      </x:c>
      <x:c r="F212" s="7" t="n">
        <x:v>1</x:v>
      </x:c>
      <x:c r="G212" s="7" t="n">
        <x:v>1</x:v>
      </x:c>
      <x:c r="H212" s="7" t="n">
        <x:v>1</x:v>
      </x:c>
      <x:c r="I212" s="20" t="n">
        <x:f>IF(H212&gt;0,1,0)</x:f>
        <x:v>1</x:v>
      </x:c>
      <x:c r="J212" s="8" t="n">
        <x:f>H212/F212</x:f>
        <x:v>1</x:v>
      </x:c>
      <x:c r="K212" s="9" t="n">
        <x:f>IF(G212="",0,1/G212)</x:f>
        <x:v>1</x:v>
      </x:c>
      <x:c r="L212" s="10" t="n">
        <x:v>1510.5124590008927</x:v>
      </x:c>
      <x:c r="M212" s="10" t="n">
        <x:v>1491.5865000002668</x:v>
      </x:c>
      <x:c r="N212" s="10" t="n">
        <x:v>1493.0901670013554</x:v>
      </x:c>
      <x:c r="O212" s="10" t="n">
        <x:f>AVERAGE(L212:N212)</x:f>
        <x:v>1498.3963753341716</x:v>
      </x:c>
      <x:c r="P212" s="19" t="str">
        <x:v>33c362adeeae
101db84f6127
a2ca82d82b71
8ad1833e576c
ecc9b344943d</x:v>
      </x:c>
      <x:c r="Q212" s="19" t="str">
        <x:v>bert.pdf 第3页
bert.pdf 第6页
bert.pdf 第9页
bert.pdf 第6页
vit.pdf 第5页</x:v>
      </x:c>
    </x:row>
    <x:row r="213" ht="95" customHeight="1">
      <x:c r="A213" s="2" t="str">
        <x:v>混合+重排序</x:v>
      </x:c>
      <x:c r="B213" s="2" t="str">
        <x:v>bert-01-en</x:v>
      </x:c>
      <x:c r="C213" s="2" t="str">
        <x:v>en-&gt;en</x:v>
      </x:c>
      <x:c r="D213" s="2" t="str">
        <x:v>bert</x:v>
      </x:c>
      <x:c r="E213" s="19" t="str">
        <x:v>What are the layer counts, hidden sizes, and attention head counts of BERT-base and BERT-large?</x:v>
      </x:c>
      <x:c r="F213" s="7" t="n">
        <x:v>1</x:v>
      </x:c>
      <x:c r="G213" s="7" t="n">
        <x:v>1</x:v>
      </x:c>
      <x:c r="H213" s="7" t="n">
        <x:v>1</x:v>
      </x:c>
      <x:c r="I213" s="20" t="n">
        <x:f>IF(H213&gt;0,1,0)</x:f>
        <x:v>1</x:v>
      </x:c>
      <x:c r="J213" s="8" t="n">
        <x:f>H213/F213</x:f>
        <x:v>1</x:v>
      </x:c>
      <x:c r="K213" s="9" t="n">
        <x:f>IF(G213="",0,1/G213)</x:f>
        <x:v>1</x:v>
      </x:c>
      <x:c r="L213" s="10" t="n">
        <x:v>1134.1084169980604</x:v>
      </x:c>
      <x:c r="M213" s="10" t="n">
        <x:v>1112.0780419987568</x:v>
      </x:c>
      <x:c r="N213" s="10" t="n">
        <x:v>1116.4320000025327</x:v>
      </x:c>
      <x:c r="O213" s="10" t="n">
        <x:f>AVERAGE(L213:N213)</x:f>
        <x:v>1120.87281966645</x:v>
      </x:c>
      <x:c r="P213" s="19" t="str">
        <x:v>33c362adeeae
a2ca82d82b71
16aa2340c4ce
d438b43e1bcd
101db84f6127</x:v>
      </x:c>
      <x:c r="Q213" s="19" t="str">
        <x:v>bert.pdf 第3页
bert.pdf 第9页
bert.pdf 第9页
bert.pdf 第8页
bert.pdf 第6页</x:v>
      </x:c>
    </x:row>
    <x:row r="214" ht="95" customHeight="1">
      <x:c r="A214" s="2" t="str">
        <x:v>混合+重排序</x:v>
      </x:c>
      <x:c r="B214" s="2" t="str">
        <x:v>bert-02-zh</x:v>
      </x:c>
      <x:c r="C214" s="2" t="str">
        <x:v>zh-&gt;en</x:v>
      </x:c>
      <x:c r="D214" s="2" t="str">
        <x:v>bert</x:v>
      </x:c>
      <x:c r="E214" s="19" t="str">
        <x:v>BERT采用什么分词表示及多大的词表？</x:v>
      </x:c>
      <x:c r="F214" s="7" t="n">
        <x:v>1</x:v>
      </x:c>
      <x:c r="G214" s="7"/>
      <x:c r="H214" s="7" t="n">
        <x:v>0</x:v>
      </x:c>
      <x:c r="I214" s="20" t="n">
        <x:f>IF(H214&gt;0,1,0)</x:f>
        <x:v>0</x:v>
      </x:c>
      <x:c r="J214" s="8" t="n">
        <x:f>H214/F214</x:f>
        <x:v>0</x:v>
      </x:c>
      <x:c r="K214" s="9" t="n">
        <x:f>IF(G214="",0,1/G214)</x:f>
        <x:v>0</x:v>
      </x:c>
      <x:c r="L214" s="10" t="n">
        <x:v>1689.1367080024793</x:v>
      </x:c>
      <x:c r="M214" s="10" t="n">
        <x:v>1555.8847499996773</x:v>
      </x:c>
      <x:c r="N214" s="10" t="n">
        <x:v>1560.8225420000963</x:v>
      </x:c>
      <x:c r="O214" s="10" t="n">
        <x:f>AVERAGE(L214:N214)</x:f>
        <x:v>1601.9480000007509</x:v>
      </x:c>
      <x:c r="P214" s="19" t="str">
        <x:v>6b9fb5b55ed5
200f791f11fd
da747c81d585
fba246bd83a5
be42dd9ead03</x:v>
      </x:c>
      <x:c r="Q214" s="19" t="str">
        <x:v>bert.pdf 第14页
bert.pdf 第15页
bert.pdf 第4页
bert.pdf 第13页
bert.pdf 第15页</x:v>
      </x:c>
    </x:row>
    <x:row r="215" ht="95" customHeight="1">
      <x:c r="A215" s="2" t="str">
        <x:v>混合+重排序</x:v>
      </x:c>
      <x:c r="B215" s="2" t="str">
        <x:v>bert-02-en</x:v>
      </x:c>
      <x:c r="C215" s="2" t="str">
        <x:v>en-&gt;en</x:v>
      </x:c>
      <x:c r="D215" s="2" t="str">
        <x:v>bert</x:v>
      </x:c>
      <x:c r="E215" s="19" t="str">
        <x:v>Which token representation does BERT use and how large is its vocabulary?</x:v>
      </x:c>
      <x:c r="F215" s="7" t="n">
        <x:v>1</x:v>
      </x:c>
      <x:c r="G215" s="7"/>
      <x:c r="H215" s="7" t="n">
        <x:v>0</x:v>
      </x:c>
      <x:c r="I215" s="20" t="n">
        <x:f>IF(H215&gt;0,1,0)</x:f>
        <x:v>0</x:v>
      </x:c>
      <x:c r="J215" s="8" t="n">
        <x:f>H215/F215</x:f>
        <x:v>0</x:v>
      </x:c>
      <x:c r="K215" s="9" t="n">
        <x:f>IF(G215="",0,1/G215)</x:f>
        <x:v>0</x:v>
      </x:c>
      <x:c r="L215" s="10" t="n">
        <x:v>676.9856669998262</x:v>
      </x:c>
      <x:c r="M215" s="10" t="n">
        <x:v>675.393334000546</x:v>
      </x:c>
      <x:c r="N215" s="10" t="n">
        <x:v>682.8007499971136</x:v>
      </x:c>
      <x:c r="O215" s="10" t="n">
        <x:f>AVERAGE(L215:N215)</x:f>
        <x:v>678.3932503324953</x:v>
      </x:c>
      <x:c r="P215" s="19" t="str">
        <x:v>da747c81d585
a2ca82d82b71
e6d4aa0fcce3
6b9fb5b55ed5
0a5898779273</x:v>
      </x:c>
      <x:c r="Q215" s="19" t="str">
        <x:v>bert.pdf 第4页
bert.pdf 第9页
bert.pdf 第9页
bert.pdf 第14页
bert.pdf 第14页</x:v>
      </x:c>
    </x:row>
    <x:row r="216" ht="95" customHeight="1">
      <x:c r="A216" s="2" t="str">
        <x:v>混合+重排序</x:v>
      </x:c>
      <x:c r="B216" s="2" t="str">
        <x:v>bert-03-zh</x:v>
      </x:c>
      <x:c r="C216" s="2" t="str">
        <x:v>zh-&gt;en</x:v>
      </x:c>
      <x:c r="D216" s="2" t="str">
        <x:v>bert</x:v>
      </x:c>
      <x:c r="E216" s="19" t="str">
        <x:v>BERT掩码语言模型选取多大比例的词元用于预测？</x:v>
      </x:c>
      <x:c r="F216" s="7" t="n">
        <x:v>1</x:v>
      </x:c>
      <x:c r="G216" s="7"/>
      <x:c r="H216" s="7" t="n">
        <x:v>0</x:v>
      </x:c>
      <x:c r="I216" s="20" t="n">
        <x:f>IF(H216&gt;0,1,0)</x:f>
        <x:v>0</x:v>
      </x:c>
      <x:c r="J216" s="8" t="n">
        <x:f>H216/F216</x:f>
        <x:v>0</x:v>
      </x:c>
      <x:c r="K216" s="9" t="n">
        <x:f>IF(G216="",0,1/G216)</x:f>
        <x:v>0</x:v>
      </x:c>
      <x:c r="L216" s="10" t="n">
        <x:v>1369.7519579982327</x:v>
      </x:c>
      <x:c r="M216" s="10" t="n">
        <x:v>1352.1292500008713</x:v>
      </x:c>
      <x:c r="N216" s="10" t="n">
        <x:v>1352.5886669995089</x:v>
      </x:c>
      <x:c r="O216" s="10" t="n">
        <x:f>AVERAGE(L216:N216)</x:f>
        <x:v>1358.1566249995376</x:v>
      </x:c>
      <x:c r="P216" s="19" t="str">
        <x:v>1ec2c7d64315
c201884939d3
a2ca82d82b71
da8c5300e989
164a68ba9cb5</x:v>
      </x:c>
      <x:c r="Q216" s="19" t="str">
        <x:v>vision_survey.pdf 第18页
vision_survey.pdf 第18页
bert.pdf 第9页
vision_survey.pdf 第18页
bert.pdf 第13页</x:v>
      </x:c>
    </x:row>
    <x:row r="217" ht="95" customHeight="1">
      <x:c r="A217" s="2" t="str">
        <x:v>混合+重排序</x:v>
      </x:c>
      <x:c r="B217" s="2" t="str">
        <x:v>bert-03-en</x:v>
      </x:c>
      <x:c r="C217" s="2" t="str">
        <x:v>en-&gt;en</x:v>
      </x:c>
      <x:c r="D217" s="2" t="str">
        <x:v>bert</x:v>
      </x:c>
      <x:c r="E217" s="19" t="str">
        <x:v>What proportion of tokens is selected for prediction in BERT masked language modeling?</x:v>
      </x:c>
      <x:c r="F217" s="7" t="n">
        <x:v>1</x:v>
      </x:c>
      <x:c r="G217" s="7"/>
      <x:c r="H217" s="7" t="n">
        <x:v>0</x:v>
      </x:c>
      <x:c r="I217" s="20" t="n">
        <x:f>IF(H217&gt;0,1,0)</x:f>
        <x:v>0</x:v>
      </x:c>
      <x:c r="J217" s="8" t="n">
        <x:f>H217/F217</x:f>
        <x:v>0</x:v>
      </x:c>
      <x:c r="K217" s="9" t="n">
        <x:f>IF(G217="",0,1/G217)</x:f>
        <x:v>0</x:v>
      </x:c>
      <x:c r="L217" s="10" t="n">
        <x:v>676.4182499973685</x:v>
      </x:c>
      <x:c r="M217" s="10" t="n">
        <x:v>666.0019999981159</x:v>
      </x:c>
      <x:c r="N217" s="10" t="n">
        <x:v>677.1413329988718</x:v>
      </x:c>
      <x:c r="O217" s="10" t="n">
        <x:f>AVERAGE(L217:N217)</x:f>
        <x:v>673.1871943314521</x:v>
      </x:c>
      <x:c r="P217" s="19" t="str">
        <x:v>b081197273f9
cd4d1ed5e0ec
f43dd541cc49
4153e401fad4
38a5178c2dd3</x:v>
      </x:c>
      <x:c r="Q217" s="19" t="str">
        <x:v>bert.pdf 第12页
bert.pdf 第4页
bert.pdf 第16页
vit.pdf 第9页
bert.pdf 第4页</x:v>
      </x:c>
    </x:row>
    <x:row r="218" ht="95" customHeight="1">
      <x:c r="A218" s="2" t="str">
        <x:v>混合+重排序</x:v>
      </x:c>
      <x:c r="B218" s="2" t="str">
        <x:v>bert-04-zh</x:v>
      </x:c>
      <x:c r="C218" s="2" t="str">
        <x:v>zh-&gt;en</x:v>
      </x:c>
      <x:c r="D218" s="2" t="str">
        <x:v>bert</x:v>
      </x:c>
      <x:c r="E218" s="19" t="str">
        <x:v>BERT被选中的词元分别如何替换，三种情况比例是多少？</x:v>
      </x:c>
      <x:c r="F218" s="7" t="n">
        <x:v>1</x:v>
      </x:c>
      <x:c r="G218" s="7"/>
      <x:c r="H218" s="7" t="n">
        <x:v>0</x:v>
      </x:c>
      <x:c r="I218" s="20" t="n">
        <x:f>IF(H218&gt;0,1,0)</x:f>
        <x:v>0</x:v>
      </x:c>
      <x:c r="J218" s="8" t="n">
        <x:f>H218/F218</x:f>
        <x:v>0</x:v>
      </x:c>
      <x:c r="K218" s="9" t="n">
        <x:f>IF(G218="",0,1/G218)</x:f>
        <x:v>0</x:v>
      </x:c>
      <x:c r="L218" s="10" t="n">
        <x:v>1547.2757089992228</x:v>
      </x:c>
      <x:c r="M218" s="10" t="n">
        <x:v>1533.8063750023139</x:v>
      </x:c>
      <x:c r="N218" s="10" t="n">
        <x:v>1520.7034580016625</x:v>
      </x:c>
      <x:c r="O218" s="10" t="n">
        <x:f>AVERAGE(L218:N218)</x:f>
        <x:v>1533.9285140010663</x:v>
      </x:c>
      <x:c r="P218" s="19" t="str">
        <x:v>200f791f11fd
fba246bd83a5
9e43b21b862a
0781652dd4f7
e151520a6479</x:v>
      </x:c>
      <x:c r="Q218" s="19" t="str">
        <x:v>bert.pdf 第15页
bert.pdf 第13页
bert.pdf 第13页
bert.pdf 第7页
bert.pdf 第7页</x:v>
      </x:c>
    </x:row>
    <x:row r="219" ht="95" customHeight="1">
      <x:c r="A219" s="2" t="str">
        <x:v>混合+重排序</x:v>
      </x:c>
      <x:c r="B219" s="2" t="str">
        <x:v>bert-04-en</x:v>
      </x:c>
      <x:c r="C219" s="2" t="str">
        <x:v>en-&gt;en</x:v>
      </x:c>
      <x:c r="D219" s="2" t="str">
        <x:v>bert</x:v>
      </x:c>
      <x:c r="E219" s="19" t="str">
        <x:v>How are selected BERT tokens replaced, and what are the proportions of the three cases?</x:v>
      </x:c>
      <x:c r="F219" s="7" t="n">
        <x:v>1</x:v>
      </x:c>
      <x:c r="G219" s="7"/>
      <x:c r="H219" s="7" t="n">
        <x:v>0</x:v>
      </x:c>
      <x:c r="I219" s="20" t="n">
        <x:f>IF(H219&gt;0,1,0)</x:f>
        <x:v>0</x:v>
      </x:c>
      <x:c r="J219" s="8" t="n">
        <x:f>H219/F219</x:f>
        <x:v>0</x:v>
      </x:c>
      <x:c r="K219" s="9" t="n">
        <x:f>IF(G219="",0,1/G219)</x:f>
        <x:v>0</x:v>
      </x:c>
      <x:c r="L219" s="10" t="n">
        <x:v>748.8269159985066</x:v>
      </x:c>
      <x:c r="M219" s="10" t="n">
        <x:v>738.3545419979782</x:v>
      </x:c>
      <x:c r="N219" s="10" t="n">
        <x:v>739.865750001627</x:v>
      </x:c>
      <x:c r="O219" s="10" t="n">
        <x:f>AVERAGE(L219:N219)</x:f>
        <x:v>742.349069332704</x:v>
      </x:c>
      <x:c r="P219" s="19" t="str">
        <x:v>f43dd541cc49
e6d4aa0fcce3
a2ca82d82b71
fba1d724b223
0781652dd4f7</x:v>
      </x:c>
      <x:c r="Q219" s="19" t="str">
        <x:v>bert.pdf 第16页
bert.pdf 第9页
bert.pdf 第9页
bert.pdf 第4页
bert.pdf 第7页</x:v>
      </x:c>
    </x:row>
    <x:row r="220" ht="95" customHeight="1">
      <x:c r="A220" s="2" t="str">
        <x:v>混合+重排序</x:v>
      </x:c>
      <x:c r="B220" s="2" t="str">
        <x:v>bert-05-zh</x:v>
      </x:c>
      <x:c r="C220" s="2" t="str">
        <x:v>zh-&gt;en</x:v>
      </x:c>
      <x:c r="D220" s="2" t="str">
        <x:v>bert</x:v>
      </x:c>
      <x:c r="E220" s="19" t="str">
        <x:v>BERT下一句预测中真实下一句和随机句各占多少？</x:v>
      </x:c>
      <x:c r="F220" s="7" t="n">
        <x:v>1</x:v>
      </x:c>
      <x:c r="G220" s="7"/>
      <x:c r="H220" s="7" t="n">
        <x:v>0</x:v>
      </x:c>
      <x:c r="I220" s="20" t="n">
        <x:f>IF(H220&gt;0,1,0)</x:f>
        <x:v>0</x:v>
      </x:c>
      <x:c r="J220" s="8" t="n">
        <x:f>H220/F220</x:f>
        <x:v>0</x:v>
      </x:c>
      <x:c r="K220" s="9" t="n">
        <x:f>IF(G220="",0,1/G220)</x:f>
        <x:v>0</x:v>
      </x:c>
      <x:c r="L220" s="10" t="n">
        <x:v>1449.4636669987813</x:v>
      </x:c>
      <x:c r="M220" s="10" t="n">
        <x:v>1433.7974580012087</x:v>
      </x:c>
      <x:c r="N220" s="10" t="n">
        <x:v>1432.4622499989346</x:v>
      </x:c>
      <x:c r="O220" s="10" t="n">
        <x:f>AVERAGE(L220:N220)</x:f>
        <x:v>1438.574458332975</x:v>
      </x:c>
      <x:c r="P220" s="19" t="str">
        <x:v>164a68ba9cb5
0948baa03212
6b9fb5b55ed5
95d33cd7b524
da747c81d585</x:v>
      </x:c>
      <x:c r="Q220" s="19" t="str">
        <x:v>bert.pdf 第13页
bert.pdf 第13页
bert.pdf 第14页
vision_survey.pdf 第2页
bert.pdf 第4页</x:v>
      </x:c>
    </x:row>
    <x:row r="221" ht="95" customHeight="1">
      <x:c r="A221" s="2" t="str">
        <x:v>混合+重排序</x:v>
      </x:c>
      <x:c r="B221" s="2" t="str">
        <x:v>bert-05-en</x:v>
      </x:c>
      <x:c r="C221" s="2" t="str">
        <x:v>en-&gt;en</x:v>
      </x:c>
      <x:c r="D221" s="2" t="str">
        <x:v>bert</x:v>
      </x:c>
      <x:c r="E221" s="19" t="str">
        <x:v>What are the proportions of actual next sentences and random sentences in BERT next sentence prediction?</x:v>
      </x:c>
      <x:c r="F221" s="7" t="n">
        <x:v>1</x:v>
      </x:c>
      <x:c r="G221" s="7" t="n">
        <x:v>1</x:v>
      </x:c>
      <x:c r="H221" s="7" t="n">
        <x:v>1</x:v>
      </x:c>
      <x:c r="I221" s="20" t="n">
        <x:f>IF(H221&gt;0,1,0)</x:f>
        <x:v>1</x:v>
      </x:c>
      <x:c r="J221" s="8" t="n">
        <x:f>H221/F221</x:f>
        <x:v>1</x:v>
      </x:c>
      <x:c r="K221" s="9" t="n">
        <x:f>IF(G221="",0,1/G221)</x:f>
        <x:v>1</x:v>
      </x:c>
      <x:c r="L221" s="10" t="n">
        <x:v>714.4261249995907</x:v>
      </x:c>
      <x:c r="M221" s="10" t="n">
        <x:v>711.7407079967961</x:v>
      </x:c>
      <x:c r="N221" s="10" t="n">
        <x:v>707.3892919979698</x:v>
      </x:c>
      <x:c r="O221" s="10" t="n">
        <x:f>AVERAGE(L221:N221)</x:f>
        <x:v>711.1853749981188</x:v>
      </x:c>
      <x:c r="P221" s="19" t="str">
        <x:v>69abe70f76fa
0948baa03212
3ab7dcacf635
164a68ba9cb5
3551056127f4</x:v>
      </x:c>
      <x:c r="Q221" s="19" t="str">
        <x:v>bert.pdf 第4页
bert.pdf 第13页
bert.pdf 第4页
bert.pdf 第13页
bert.pdf 第4页</x:v>
      </x:c>
    </x:row>
    <x:row r="222" ht="95" customHeight="1">
      <x:c r="A222" s="2" t="str">
        <x:v>混合+重排序</x:v>
      </x:c>
      <x:c r="B222" s="2" t="str">
        <x:v>bert-06-zh</x:v>
      </x:c>
      <x:c r="C222" s="2" t="str">
        <x:v>zh-&gt;en</x:v>
      </x:c>
      <x:c r="D222" s="2" t="str">
        <x:v>bert</x:v>
      </x:c>
      <x:c r="E222" s="19" t="str">
        <x:v>BERT预训练使用哪两个语料，它们各有多少词？</x:v>
      </x:c>
      <x:c r="F222" s="7" t="n">
        <x:v>2</x:v>
      </x:c>
      <x:c r="G222" s="7" t="n">
        <x:v>1</x:v>
      </x:c>
      <x:c r="H222" s="7" t="n">
        <x:v>2</x:v>
      </x:c>
      <x:c r="I222" s="20" t="n">
        <x:f>IF(H222&gt;0,1,0)</x:f>
        <x:v>1</x:v>
      </x:c>
      <x:c r="J222" s="8" t="n">
        <x:f>H222/F222</x:f>
        <x:v>1</x:v>
      </x:c>
      <x:c r="K222" s="9" t="n">
        <x:f>IF(G222="",0,1/G222)</x:f>
        <x:v>1</x:v>
      </x:c>
      <x:c r="L222" s="10" t="n">
        <x:v>1461.3014169990493</x:v>
      </x:c>
      <x:c r="M222" s="10" t="n">
        <x:v>1442.306417000509</x:v>
      </x:c>
      <x:c r="N222" s="10" t="n">
        <x:v>1445.0179999985266</x:v>
      </x:c>
      <x:c r="O222" s="10" t="n">
        <x:f>AVERAGE(L222:N222)</x:f>
        <x:v>1449.5419446660283</x:v>
      </x:c>
      <x:c r="P222" s="19" t="str">
        <x:v>6b9fb5b55ed5
3eaef451b505
95d33cd7b524
94c50374af3a
9e1c040b694f</x:v>
      </x:c>
      <x:c r="Q222" s="19" t="str">
        <x:v>bert.pdf 第14页
bert.pdf 第5页
vision_survey.pdf 第2页
bert.pdf 第1页
bert.pdf 第3页</x:v>
      </x:c>
    </x:row>
    <x:row r="223" ht="95" customHeight="1">
      <x:c r="A223" s="2" t="str">
        <x:v>混合+重排序</x:v>
      </x:c>
      <x:c r="B223" s="2" t="str">
        <x:v>bert-06-en</x:v>
      </x:c>
      <x:c r="C223" s="2" t="str">
        <x:v>en-&gt;en</x:v>
      </x:c>
      <x:c r="D223" s="2" t="str">
        <x:v>bert</x:v>
      </x:c>
      <x:c r="E223" s="19" t="str">
        <x:v>Which two corpora are used to pre-train BERT, and how many words does each contain?</x:v>
      </x:c>
      <x:c r="F223" s="7" t="n">
        <x:v>2</x:v>
      </x:c>
      <x:c r="G223" s="7" t="n">
        <x:v>1</x:v>
      </x:c>
      <x:c r="H223" s="7" t="n">
        <x:v>1</x:v>
      </x:c>
      <x:c r="I223" s="20" t="n">
        <x:f>IF(H223&gt;0,1,0)</x:f>
        <x:v>1</x:v>
      </x:c>
      <x:c r="J223" s="8" t="n">
        <x:f>H223/F223</x:f>
        <x:v>0.5</x:v>
      </x:c>
      <x:c r="K223" s="9" t="n">
        <x:f>IF(G223="",0,1/G223)</x:f>
        <x:v>1</x:v>
      </x:c>
      <x:c r="L223" s="10" t="n">
        <x:v>734.8737500033167</x:v>
      </x:c>
      <x:c r="M223" s="10" t="n">
        <x:v>728.3257499984757</x:v>
      </x:c>
      <x:c r="N223" s="10" t="n">
        <x:v>730.9324580019165</x:v>
      </x:c>
      <x:c r="O223" s="10" t="n">
        <x:f>AVERAGE(L223:N223)</x:f>
        <x:v>731.3773193345696</x:v>
      </x:c>
      <x:c r="P223" s="19" t="str">
        <x:v>6b9fb5b55ed5
94c50374af3a
b9d9c270810d
9e1c040b694f
e89e7ad14445</x:v>
      </x:c>
      <x:c r="Q223" s="19" t="str">
        <x:v>bert.pdf 第14页
bert.pdf 第1页
bert.pdf 第4页
bert.pdf 第3页
vit.pdf 第2页</x:v>
      </x:c>
    </x:row>
    <x:row r="224" ht="95" customHeight="1">
      <x:c r="A224" s="2" t="str">
        <x:v>混合+重排序</x:v>
      </x:c>
      <x:c r="B224" s="2" t="str">
        <x:v>bert-07-zh</x:v>
      </x:c>
      <x:c r="C224" s="2" t="str">
        <x:v>zh-&gt;en</x:v>
      </x:c>
      <x:c r="D224" s="2" t="str">
        <x:v>bert</x:v>
      </x:c>
      <x:c r="E224" s="19" t="str">
        <x:v>BERT预训练怎样分配短序列和长序列的训练步数？</x:v>
      </x:c>
      <x:c r="F224" s="7" t="n">
        <x:v>1</x:v>
      </x:c>
      <x:c r="G224" s="7"/>
      <x:c r="H224" s="7" t="n">
        <x:v>0</x:v>
      </x:c>
      <x:c r="I224" s="20" t="n">
        <x:f>IF(H224&gt;0,1,0)</x:f>
        <x:v>0</x:v>
      </x:c>
      <x:c r="J224" s="8" t="n">
        <x:f>H224/F224</x:f>
        <x:v>0</x:v>
      </x:c>
      <x:c r="K224" s="9" t="n">
        <x:f>IF(G224="",0,1/G224)</x:f>
        <x:v>0</x:v>
      </x:c>
      <x:c r="L224" s="10" t="n">
        <x:v>1587.8302499986603</x:v>
      </x:c>
      <x:c r="M224" s="10" t="n">
        <x:v>1542.8655409996281</x:v>
      </x:c>
      <x:c r="N224" s="10" t="n">
        <x:v>1526.0767079998914</x:v>
      </x:c>
      <x:c r="O224" s="10" t="n">
        <x:f>AVERAGE(L224:N224)</x:f>
        <x:v>1552.2574996660599</x:v>
      </x:c>
      <x:c r="P224" s="19" t="str">
        <x:v>1c9c1a798c6f
95d33cd7b524
9e1c040b694f
b9d9c270810d
20ab6aea8126</x:v>
      </x:c>
      <x:c r="Q224" s="19" t="str">
        <x:v>bert.pdf 第16页
vision_survey.pdf 第2页
bert.pdf 第3页
bert.pdf 第4页
bert.pdf 第12页</x:v>
      </x:c>
    </x:row>
    <x:row r="225" ht="95" customHeight="1">
      <x:c r="A225" s="2" t="str">
        <x:v>混合+重排序</x:v>
      </x:c>
      <x:c r="B225" s="2" t="str">
        <x:v>bert-07-en</x:v>
      </x:c>
      <x:c r="C225" s="2" t="str">
        <x:v>en-&gt;en</x:v>
      </x:c>
      <x:c r="D225" s="2" t="str">
        <x:v>bert</x:v>
      </x:c>
      <x:c r="E225" s="19" t="str">
        <x:v>How does BERT pre-training allocate steps between short and long sequences?</x:v>
      </x:c>
      <x:c r="F225" s="7" t="n">
        <x:v>1</x:v>
      </x:c>
      <x:c r="G225" s="7"/>
      <x:c r="H225" s="7" t="n">
        <x:v>0</x:v>
      </x:c>
      <x:c r="I225" s="20" t="n">
        <x:f>IF(H225&gt;0,1,0)</x:f>
        <x:v>0</x:v>
      </x:c>
      <x:c r="J225" s="8" t="n">
        <x:f>H225/F225</x:f>
        <x:v>0</x:v>
      </x:c>
      <x:c r="K225" s="9" t="n">
        <x:f>IF(G225="",0,1/G225)</x:f>
        <x:v>0</x:v>
      </x:c>
      <x:c r="L225" s="10" t="n">
        <x:v>790.0705829997605</x:v>
      </x:c>
      <x:c r="M225" s="10" t="n">
        <x:v>774.026708000747</x:v>
      </x:c>
      <x:c r="N225" s="10" t="n">
        <x:v>776.0364999994636</x:v>
      </x:c>
      <x:c r="O225" s="10" t="n">
        <x:f>AVERAGE(L225:N225)</x:f>
        <x:v>780.0445969999904</x:v>
      </x:c>
      <x:c r="P225" s="19" t="str">
        <x:v>6b9fb5b55ed5
158a4fb565fd
9e1c040b694f
114e314dda4a
39edd173b9c7</x:v>
      </x:c>
      <x:c r="Q225" s="19" t="str">
        <x:v>bert.pdf 第14页
bert.pdf 第13页
bert.pdf 第3页
attention.pdf 第6页
bert.pdf 第14页</x:v>
      </x:c>
    </x:row>
    <x:row r="226" ht="95" customHeight="1">
      <x:c r="A226" s="2" t="str">
        <x:v>混合+重排序</x:v>
      </x:c>
      <x:c r="B226" s="2" t="str">
        <x:v>bert-08-zh</x:v>
      </x:c>
      <x:c r="C226" s="2" t="str">
        <x:v>zh-&gt;en</x:v>
      </x:c>
      <x:c r="D226" s="2" t="str">
        <x:v>bert</x:v>
      </x:c>
      <x:c r="E226" s="19" t="str">
        <x:v>BERT微调时只训练输出层还是更新全部参数？</x:v>
      </x:c>
      <x:c r="F226" s="7" t="n">
        <x:v>1</x:v>
      </x:c>
      <x:c r="G226" s="7"/>
      <x:c r="H226" s="7" t="n">
        <x:v>0</x:v>
      </x:c>
      <x:c r="I226" s="20" t="n">
        <x:f>IF(H226&gt;0,1,0)</x:f>
        <x:v>0</x:v>
      </x:c>
      <x:c r="J226" s="8" t="n">
        <x:f>H226/F226</x:f>
        <x:v>0</x:v>
      </x:c>
      <x:c r="K226" s="9" t="n">
        <x:f>IF(G226="",0,1/G226)</x:f>
        <x:v>0</x:v>
      </x:c>
      <x:c r="L226" s="10" t="n">
        <x:v>1584.4507919973694</x:v>
      </x:c>
      <x:c r="M226" s="10" t="n">
        <x:v>1478.0546670008334</x:v>
      </x:c>
      <x:c r="N226" s="10" t="n">
        <x:v>1470.0246669999615</x:v>
      </x:c>
      <x:c r="O226" s="10" t="n">
        <x:f>AVERAGE(L226:N226)</x:f>
        <x:v>1510.8433753327215</x:v>
      </x:c>
      <x:c r="P226" s="19" t="str">
        <x:v>e8ef5be7b5cc
1da27bb98beb
dcc8dd7fac71
709b9ccbcf13
e6d4aa0fcce3</x:v>
      </x:c>
      <x:c r="Q226" s="19" t="str">
        <x:v>bert.pdf 第3页
bert.pdf 第9页
compression.pdf 第3页
compression.pdf 第5页
bert.pdf 第9页</x:v>
      </x:c>
    </x:row>
    <x:row r="227" ht="95" customHeight="1">
      <x:c r="A227" s="2" t="str">
        <x:v>混合+重排序</x:v>
      </x:c>
      <x:c r="B227" s="2" t="str">
        <x:v>bert-08-en</x:v>
      </x:c>
      <x:c r="C227" s="2" t="str">
        <x:v>en-&gt;en</x:v>
      </x:c>
      <x:c r="D227" s="2" t="str">
        <x:v>bert</x:v>
      </x:c>
      <x:c r="E227" s="19" t="str">
        <x:v>Does BERT fine-tuning train only the output layer or update all parameters?</x:v>
      </x:c>
      <x:c r="F227" s="7" t="n">
        <x:v>1</x:v>
      </x:c>
      <x:c r="G227" s="7"/>
      <x:c r="H227" s="7" t="n">
        <x:v>0</x:v>
      </x:c>
      <x:c r="I227" s="20" t="n">
        <x:f>IF(H227&gt;0,1,0)</x:f>
        <x:v>0</x:v>
      </x:c>
      <x:c r="J227" s="8" t="n">
        <x:f>H227/F227</x:f>
        <x:v>0</x:v>
      </x:c>
      <x:c r="K227" s="9" t="n">
        <x:f>IF(G227="",0,1/G227)</x:f>
        <x:v>0</x:v>
      </x:c>
      <x:c r="L227" s="10" t="n">
        <x:v>817.7433749988268</x:v>
      </x:c>
      <x:c r="M227" s="10" t="n">
        <x:v>810.5931669997517</x:v>
      </x:c>
      <x:c r="N227" s="10" t="n">
        <x:v>807.2757500012813</x:v>
      </x:c>
      <x:c r="O227" s="10" t="n">
        <x:f>AVERAGE(L227:N227)</x:f>
        <x:v>811.8707639999533</x:v>
      </x:c>
      <x:c r="P227" s="19" t="str">
        <x:v>94c50374af3a
e8ef5be7b5cc
9e1c040b694f
1da27bb98beb
e6d4aa0fcce3</x:v>
      </x:c>
      <x:c r="Q227" s="19" t="str">
        <x:v>bert.pdf 第1页
bert.pdf 第3页
bert.pdf 第3页
bert.pdf 第9页
bert.pdf 第9页</x:v>
      </x:c>
    </x:row>
    <x:row r="228" ht="95" customHeight="1">
      <x:c r="A228" s="2" t="str">
        <x:v>混合+重排序</x:v>
      </x:c>
      <x:c r="B228" s="2" t="str">
        <x:v>vit-01-zh</x:v>
      </x:c>
      <x:c r="C228" s="2" t="str">
        <x:v>zh-&gt;en</x:v>
      </x:c>
      <x:c r="D228" s="2" t="str">
        <x:v>vit</x:v>
      </x:c>
      <x:c r="E228" s="19" t="str">
        <x:v>原始ViT怎样把图像变成Transformer的输入序列？</x:v>
      </x:c>
      <x:c r="F228" s="7" t="n">
        <x:v>3</x:v>
      </x:c>
      <x:c r="G228" s="7"/>
      <x:c r="H228" s="7" t="n">
        <x:v>0</x:v>
      </x:c>
      <x:c r="I228" s="20" t="n">
        <x:f>IF(H228&gt;0,1,0)</x:f>
        <x:v>0</x:v>
      </x:c>
      <x:c r="J228" s="8" t="n">
        <x:f>H228/F228</x:f>
        <x:v>0</x:v>
      </x:c>
      <x:c r="K228" s="9" t="n">
        <x:f>IF(G228="",0,1/G228)</x:f>
        <x:v>0</x:v>
      </x:c>
      <x:c r="L228" s="10" t="n">
        <x:v>1606.860083000356</x:v>
      </x:c>
      <x:c r="M228" s="10" t="n">
        <x:v>1637.4214999996184</x:v>
      </x:c>
      <x:c r="N228" s="10" t="n">
        <x:v>1599.6815420003259</x:v>
      </x:c>
      <x:c r="O228" s="10" t="n">
        <x:f>AVERAGE(L228:N228)</x:f>
        <x:v>1614.6543750001001</x:v>
      </x:c>
      <x:c r="P228" s="19" t="str">
        <x:v>127d05940603
df5f4497c074
ac03dc81db60
4377c8dddb67
e9421d560c4a</x:v>
      </x:c>
      <x:c r="Q228" s="19" t="str">
        <x:v>vision_survey.pdf 第2页
vision_survey.pdf 第4页
vision_survey.pdf 第2页
vision_survey.pdf 第12页
vit.pdf 第3页</x:v>
      </x:c>
    </x:row>
    <x:row r="229" ht="95" customHeight="1">
      <x:c r="A229" s="2" t="str">
        <x:v>混合+重排序</x:v>
      </x:c>
      <x:c r="B229" s="2" t="str">
        <x:v>vit-01-en</x:v>
      </x:c>
      <x:c r="C229" s="2" t="str">
        <x:v>en-&gt;en</x:v>
      </x:c>
      <x:c r="D229" s="2" t="str">
        <x:v>vit</x:v>
      </x:c>
      <x:c r="E229" s="19" t="str">
        <x:v>How does the original ViT convert an image into a Transformer input sequence?</x:v>
      </x:c>
      <x:c r="F229" s="7" t="n">
        <x:v>3</x:v>
      </x:c>
      <x:c r="G229" s="7" t="n">
        <x:v>2</x:v>
      </x:c>
      <x:c r="H229" s="7" t="n">
        <x:v>2</x:v>
      </x:c>
      <x:c r="I229" s="20" t="n">
        <x:f>IF(H229&gt;0,1,0)</x:f>
        <x:v>1</x:v>
      </x:c>
      <x:c r="J229" s="8" t="n">
        <x:f>H229/F229</x:f>
        <x:v>0.6666666666666666</x:v>
      </x:c>
      <x:c r="K229" s="9" t="n">
        <x:f>IF(G229="",0,1/G229)</x:f>
        <x:v>0.5</x:v>
      </x:c>
      <x:c r="L229" s="10" t="n">
        <x:v>874.2401669987885</x:v>
      </x:c>
      <x:c r="M229" s="10" t="n">
        <x:v>868.6185000005935</x:v>
      </x:c>
      <x:c r="N229" s="10" t="n">
        <x:v>870.6880419995287</x:v>
      </x:c>
      <x:c r="O229" s="10" t="n">
        <x:f>AVERAGE(L229:N229)</x:f>
        <x:v>871.1822363329702</x:v>
      </x:c>
      <x:c r="P229" s="19" t="str">
        <x:v>e9421d560c4a
24f092f31d91
0f68818744e4
a7ae255f3607
6b9eb1be9355</x:v>
      </x:c>
      <x:c r="Q229" s="19" t="str">
        <x:v>vit.pdf 第3页
vit.pdf 第1页
vit.pdf 第3页
vit.pdf 第4页
attention.pdf 第2页</x:v>
      </x:c>
    </x:row>
    <x:row r="230" ht="95" customHeight="1">
      <x:c r="A230" s="2" t="str">
        <x:v>混合+重排序</x:v>
      </x:c>
      <x:c r="B230" s="2" t="str">
        <x:v>vit-02-zh</x:v>
      </x:c>
      <x:c r="C230" s="2" t="str">
        <x:v>zh-&gt;en</x:v>
      </x:c>
      <x:c r="D230" s="2" t="str">
        <x:v>vit</x:v>
      </x:c>
      <x:c r="E230" s="19" t="str">
        <x:v>原始ViT使用哪个词符的输出作为图像表示？</x:v>
      </x:c>
      <x:c r="F230" s="7" t="n">
        <x:v>1</x:v>
      </x:c>
      <x:c r="G230" s="7"/>
      <x:c r="H230" s="7" t="n">
        <x:v>0</x:v>
      </x:c>
      <x:c r="I230" s="20" t="n">
        <x:f>IF(H230&gt;0,1,0)</x:f>
        <x:v>0</x:v>
      </x:c>
      <x:c r="J230" s="8" t="n">
        <x:f>H230/F230</x:f>
        <x:v>0</x:v>
      </x:c>
      <x:c r="K230" s="9" t="n">
        <x:f>IF(G230="",0,1/G230)</x:f>
        <x:v>0</x:v>
      </x:c>
      <x:c r="L230" s="10" t="n">
        <x:v>1654.722250001214</x:v>
      </x:c>
      <x:c r="M230" s="10" t="n">
        <x:v>1645.3199999996286</x:v>
      </x:c>
      <x:c r="N230" s="10" t="n">
        <x:v>1650.9483340014413</x:v>
      </x:c>
      <x:c r="O230" s="10" t="n">
        <x:f>AVERAGE(L230:N230)</x:f>
        <x:v>1650.330194667428</x:v>
      </x:c>
      <x:c r="P230" s="19" t="str">
        <x:v>127d05940603
6f276f3c298f
b6d06d6818f5
7a8104b7b265
4ee4a24a628e</x:v>
      </x:c>
      <x:c r="Q230" s="19" t="str">
        <x:v>vision_survey.pdf 第2页
vision_survey.pdf 第2页
vision_survey.pdf 第2页
vision_survey.pdf 第3页
vision_survey.pdf 第3页</x:v>
      </x:c>
    </x:row>
    <x:row r="231" ht="95" customHeight="1">
      <x:c r="A231" s="2" t="str">
        <x:v>混合+重排序</x:v>
      </x:c>
      <x:c r="B231" s="2" t="str">
        <x:v>vit-02-en</x:v>
      </x:c>
      <x:c r="C231" s="2" t="str">
        <x:v>en-&gt;en</x:v>
      </x:c>
      <x:c r="D231" s="2" t="str">
        <x:v>vit</x:v>
      </x:c>
      <x:c r="E231" s="19" t="str">
        <x:v>Which token output is used as the image representation in the original ViT?</x:v>
      </x:c>
      <x:c r="F231" s="7" t="n">
        <x:v>1</x:v>
      </x:c>
      <x:c r="G231" s="7" t="n">
        <x:v>4</x:v>
      </x:c>
      <x:c r="H231" s="7" t="n">
        <x:v>1</x:v>
      </x:c>
      <x:c r="I231" s="20" t="n">
        <x:f>IF(H231&gt;0,1,0)</x:f>
        <x:v>1</x:v>
      </x:c>
      <x:c r="J231" s="8" t="n">
        <x:f>H231/F231</x:f>
        <x:v>1</x:v>
      </x:c>
      <x:c r="K231" s="9" t="n">
        <x:f>IF(G231="",0,1/G231)</x:f>
        <x:v>0.25</x:v>
      </x:c>
      <x:c r="L231" s="10" t="n">
        <x:v>762.6075829975889</x:v>
      </x:c>
      <x:c r="M231" s="10" t="n">
        <x:v>754.6336249979504</x:v>
      </x:c>
      <x:c r="N231" s="10" t="n">
        <x:v>767.3296249995474</x:v>
      </x:c>
      <x:c r="O231" s="10" t="n">
        <x:f>AVERAGE(L231:N231)</x:f>
        <x:v>761.5236109983622</x:v>
      </x:c>
      <x:c r="P231" s="19" t="str">
        <x:v>6d60780ea120
260dae2cb298
e9421d560c4a
86ba2115620a
e130dcce483a</x:v>
      </x:c>
      <x:c r="Q231" s="19" t="str">
        <x:v>vit.pdf 第8页
vit.pdf 第16页
vit.pdf 第3页
vit.pdf 第3页
vit.pdf 第20页</x:v>
      </x:c>
    </x:row>
    <x:row r="232" ht="95" customHeight="1">
      <x:c r="A232" s="2" t="str">
        <x:v>混合+重排序</x:v>
      </x:c>
      <x:c r="B232" s="2" t="str">
        <x:v>vit-03-zh</x:v>
      </x:c>
      <x:c r="C232" s="2" t="str">
        <x:v>zh-&gt;en</x:v>
      </x:c>
      <x:c r="D232" s="2" t="str">
        <x:v>vit</x:v>
      </x:c>
      <x:c r="E232" s="19" t="str">
        <x:v>原始ViT采用可学习的一维还是二维位置嵌入，为什么？</x:v>
      </x:c>
      <x:c r="F232" s="7" t="n">
        <x:v>1</x:v>
      </x:c>
      <x:c r="G232" s="7"/>
      <x:c r="H232" s="7" t="n">
        <x:v>0</x:v>
      </x:c>
      <x:c r="I232" s="20" t="n">
        <x:f>IF(H232&gt;0,1,0)</x:f>
        <x:v>0</x:v>
      </x:c>
      <x:c r="J232" s="8" t="n">
        <x:f>H232/F232</x:f>
        <x:v>0</x:v>
      </x:c>
      <x:c r="K232" s="9" t="n">
        <x:f>IF(G232="",0,1/G232)</x:f>
        <x:v>0</x:v>
      </x:c>
      <x:c r="L232" s="10" t="n">
        <x:v>1677.4830840004142</x:v>
      </x:c>
      <x:c r="M232" s="10" t="n">
        <x:v>1677.0712090001325</x:v>
      </x:c>
      <x:c r="N232" s="10" t="n">
        <x:v>1666.9031669989636</x:v>
      </x:c>
      <x:c r="O232" s="10" t="n">
        <x:f>AVERAGE(L232:N232)</x:f>
        <x:v>1673.81915333317</x:v>
      </x:c>
      <x:c r="P232" s="19" t="str">
        <x:v>127d05940603
7a8104b7b265
6f276f3c298f
fe92a83a9be3
ce612f43af28</x:v>
      </x:c>
      <x:c r="Q232" s="19" t="str">
        <x:v>vision_survey.pdf 第2页
vision_survey.pdf 第3页
vision_survey.pdf 第2页
vision_survey.pdf 第4页
vision_survey.pdf 第8页</x:v>
      </x:c>
    </x:row>
    <x:row r="233" ht="95" customHeight="1">
      <x:c r="A233" s="2" t="str">
        <x:v>混合+重排序</x:v>
      </x:c>
      <x:c r="B233" s="2" t="str">
        <x:v>vit-03-en</x:v>
      </x:c>
      <x:c r="C233" s="2" t="str">
        <x:v>en-&gt;en</x:v>
      </x:c>
      <x:c r="D233" s="2" t="str">
        <x:v>vit</x:v>
      </x:c>
      <x:c r="E233" s="19" t="str">
        <x:v>Does the original ViT use learnable one-dimensional or two-dimensional position embeddings, and why?</x:v>
      </x:c>
      <x:c r="F233" s="7" t="n">
        <x:v>1</x:v>
      </x:c>
      <x:c r="G233" s="7"/>
      <x:c r="H233" s="7" t="n">
        <x:v>0</x:v>
      </x:c>
      <x:c r="I233" s="20" t="n">
        <x:f>IF(H233&gt;0,1,0)</x:f>
        <x:v>0</x:v>
      </x:c>
      <x:c r="J233" s="8" t="n">
        <x:f>H233/F233</x:f>
        <x:v>0</x:v>
      </x:c>
      <x:c r="K233" s="9" t="n">
        <x:f>IF(G233="",0,1/G233)</x:f>
        <x:v>0</x:v>
      </x:c>
      <x:c r="L233" s="10" t="n">
        <x:v>834.0346250006405</x:v>
      </x:c>
      <x:c r="M233" s="10" t="n">
        <x:v>755.4096249987197</x:v>
      </x:c>
      <x:c r="N233" s="10" t="n">
        <x:v>762.738541001454</x:v>
      </x:c>
      <x:c r="O233" s="10" t="n">
        <x:f>AVERAGE(L233:N233)</x:f>
        <x:v>784.0609303336047</x:v>
      </x:c>
      <x:c r="P233" s="19" t="str">
        <x:v>0b0a91188330
8c8caa8c9f8f
ecc8bf40bc43
7eb48c9359b3
71c0f9d80cc6</x:v>
      </x:c>
      <x:c r="Q233" s="19" t="str">
        <x:v>vit.pdf 第17页
vit.pdf 第18页
vit.pdf 第18页
vit.pdf 第17页
vit.pdf 第8页</x:v>
      </x:c>
    </x:row>
    <x:row r="234" ht="95" customHeight="1">
      <x:c r="A234" s="2" t="str">
        <x:v>混合+重排序</x:v>
      </x:c>
      <x:c r="B234" s="2" t="str">
        <x:v>vit-04-zh</x:v>
      </x:c>
      <x:c r="C234" s="2" t="str">
        <x:v>zh-&gt;en</x:v>
      </x:c>
      <x:c r="D234" s="2" t="str">
        <x:v>vit</x:v>
      </x:c>
      <x:c r="E234" s="19" t="str">
        <x:v>原始ViT与CNN相比，图像归纳偏置有哪些区别？</x:v>
      </x:c>
      <x:c r="F234" s="7" t="n">
        <x:v>1</x:v>
      </x:c>
      <x:c r="G234" s="7"/>
      <x:c r="H234" s="7" t="n">
        <x:v>0</x:v>
      </x:c>
      <x:c r="I234" s="20" t="n">
        <x:f>IF(H234&gt;0,1,0)</x:f>
        <x:v>0</x:v>
      </x:c>
      <x:c r="J234" s="8" t="n">
        <x:f>H234/F234</x:f>
        <x:v>0</x:v>
      </x:c>
      <x:c r="K234" s="9" t="n">
        <x:f>IF(G234="",0,1/G234)</x:f>
        <x:v>0</x:v>
      </x:c>
      <x:c r="L234" s="10" t="n">
        <x:v>1484.7120000013092</x:v>
      </x:c>
      <x:c r="M234" s="10" t="n">
        <x:v>1476.6064589966845</x:v>
      </x:c>
      <x:c r="N234" s="10" t="n">
        <x:v>1532.7221670013387</x:v>
      </x:c>
      <x:c r="O234" s="10" t="n">
        <x:f>AVERAGE(L234:N234)</x:f>
        <x:v>1498.0135419997775</x:v>
      </x:c>
      <x:c r="P234" s="19" t="str">
        <x:v>40dfdb1c2e9f
f2d7f5316027
127d05940603
670f5ed67a6d
ac03dc81db60</x:v>
      </x:c>
      <x:c r="Q234" s="19" t="str">
        <x:v>vision_survey.pdf 第7页
vision_survey.pdf 第7页
vision_survey.pdf 第2页
vision_survey.pdf 第17页
vision_survey.pdf 第2页</x:v>
      </x:c>
    </x:row>
    <x:row r="235" ht="95" customHeight="1">
      <x:c r="A235" s="2" t="str">
        <x:v>混合+重排序</x:v>
      </x:c>
      <x:c r="B235" s="2" t="str">
        <x:v>vit-04-en</x:v>
      </x:c>
      <x:c r="C235" s="2" t="str">
        <x:v>en-&gt;en</x:v>
      </x:c>
      <x:c r="D235" s="2" t="str">
        <x:v>vit</x:v>
      </x:c>
      <x:c r="E235" s="19" t="str">
        <x:v>How does image-specific inductive bias in the original ViT differ from CNNs?</x:v>
      </x:c>
      <x:c r="F235" s="7" t="n">
        <x:v>1</x:v>
      </x:c>
      <x:c r="G235" s="7" t="n">
        <x:v>1</x:v>
      </x:c>
      <x:c r="H235" s="7" t="n">
        <x:v>1</x:v>
      </x:c>
      <x:c r="I235" s="20" t="n">
        <x:f>IF(H235&gt;0,1,0)</x:f>
        <x:v>1</x:v>
      </x:c>
      <x:c r="J235" s="8" t="n">
        <x:f>H235/F235</x:f>
        <x:v>1</x:v>
      </x:c>
      <x:c r="K235" s="9" t="n">
        <x:f>IF(G235="",0,1/G235)</x:f>
        <x:v>1</x:v>
      </x:c>
      <x:c r="L235" s="10" t="n">
        <x:v>1122.022666997509</x:v>
      </x:c>
      <x:c r="M235" s="10" t="n">
        <x:v>1106.005166999239</x:v>
      </x:c>
      <x:c r="N235" s="10" t="n">
        <x:v>1117.7448330017796</x:v>
      </x:c>
      <x:c r="O235" s="10" t="n">
        <x:f>AVERAGE(L235:N235)</x:f>
        <x:v>1115.257555666176</x:v>
      </x:c>
      <x:c r="P235" s="19" t="str">
        <x:v>5bde2de08ea0
40dfdb1c2e9f
127d05940603
b2c5ca4a2c2d
dad9a17d6e90</x:v>
      </x:c>
      <x:c r="Q235" s="19" t="str">
        <x:v>vit.pdf 第4页
vision_survey.pdf 第7页
vision_survey.pdf 第2页
vit.pdf 第2页
vit.pdf 第7页</x:v>
      </x:c>
    </x:row>
    <x:row r="236" ht="95" customHeight="1">
      <x:c r="A236" s="2" t="str">
        <x:v>混合+重排序</x:v>
      </x:c>
      <x:c r="B236" s="2" t="str">
        <x:v>vit-05-zh</x:v>
      </x:c>
      <x:c r="C236" s="2" t="str">
        <x:v>zh-&gt;en</x:v>
      </x:c>
      <x:c r="D236" s="2" t="str">
        <x:v>vit</x:v>
      </x:c>
      <x:c r="E236" s="19" t="str">
        <x:v>原始ViT的混合架构从哪里取得图像块嵌入输入？</x:v>
      </x:c>
      <x:c r="F236" s="7" t="n">
        <x:v>1</x:v>
      </x:c>
      <x:c r="G236" s="7"/>
      <x:c r="H236" s="7" t="n">
        <x:v>0</x:v>
      </x:c>
      <x:c r="I236" s="20" t="n">
        <x:f>IF(H236&gt;0,1,0)</x:f>
        <x:v>0</x:v>
      </x:c>
      <x:c r="J236" s="8" t="n">
        <x:f>H236/F236</x:f>
        <x:v>0</x:v>
      </x:c>
      <x:c r="K236" s="9" t="n">
        <x:f>IF(G236="",0,1/G236)</x:f>
        <x:v>0</x:v>
      </x:c>
      <x:c r="L236" s="10" t="n">
        <x:v>1582.9778330007684</x:v>
      </x:c>
      <x:c r="M236" s="10" t="n">
        <x:v>1597.228291000647</x:v>
      </x:c>
      <x:c r="N236" s="10" t="n">
        <x:v>1577.8714579973894</x:v>
      </x:c>
      <x:c r="O236" s="10" t="n">
        <x:f>AVERAGE(L236:N236)</x:f>
        <x:v>1586.0258606662683</x:v>
      </x:c>
      <x:c r="P236" s="19" t="str">
        <x:v>127d05940603
ac03dc81db60
6f276f3c298f
e9421d560c4a
ea4b556d5d7a</x:v>
      </x:c>
      <x:c r="Q236" s="19" t="str">
        <x:v>vision_survey.pdf 第2页
vision_survey.pdf 第2页
vision_survey.pdf 第2页
vit.pdf 第3页
compression.pdf 第10页</x:v>
      </x:c>
    </x:row>
    <x:row r="237" ht="95" customHeight="1">
      <x:c r="A237" s="2" t="str">
        <x:v>混合+重排序</x:v>
      </x:c>
      <x:c r="B237" s="2" t="str">
        <x:v>vit-05-en</x:v>
      </x:c>
      <x:c r="C237" s="2" t="str">
        <x:v>en-&gt;en</x:v>
      </x:c>
      <x:c r="D237" s="2" t="str">
        <x:v>vit</x:v>
      </x:c>
      <x:c r="E237" s="19" t="str">
        <x:v>Where do input patch embeddings come from in the original ViT hybrid architecture?</x:v>
      </x:c>
      <x:c r="F237" s="7" t="n">
        <x:v>1</x:v>
      </x:c>
      <x:c r="G237" s="7" t="n">
        <x:v>1</x:v>
      </x:c>
      <x:c r="H237" s="7" t="n">
        <x:v>1</x:v>
      </x:c>
      <x:c r="I237" s="20" t="n">
        <x:f>IF(H237&gt;0,1,0)</x:f>
        <x:v>1</x:v>
      </x:c>
      <x:c r="J237" s="8" t="n">
        <x:f>H237/F237</x:f>
        <x:v>1</x:v>
      </x:c>
      <x:c r="K237" s="9" t="n">
        <x:f>IF(G237="",0,1/G237)</x:f>
        <x:v>1</x:v>
      </x:c>
      <x:c r="L237" s="10" t="n">
        <x:v>643.825208000635</x:v>
      </x:c>
      <x:c r="M237" s="10" t="n">
        <x:v>644.8885419995349</x:v>
      </x:c>
      <x:c r="N237" s="10" t="n">
        <x:v>645.4527089990734</x:v>
      </x:c>
      <x:c r="O237" s="10" t="n">
        <x:f>AVERAGE(L237:N237)</x:f>
        <x:v>644.7221529997478</x:v>
      </x:c>
      <x:c r="P237" s="19" t="str">
        <x:v>a7ae255f3607
f0472597593c
40f8d16aaec2
583e7238700e
de306f230bef</x:v>
      </x:c>
      <x:c r="Q237" s="19" t="str">
        <x:v>vit.pdf 第4页
vit.pdf 第9页
vit.pdf 第4页
vit.pdf 第18页
vit.pdf 第3页</x:v>
      </x:c>
    </x:row>
    <x:row r="238" ht="95" customHeight="1">
      <x:c r="A238" s="2" t="str">
        <x:v>混合+重排序</x:v>
      </x:c>
      <x:c r="B238" s="2" t="str">
        <x:v>vit-06-zh</x:v>
      </x:c>
      <x:c r="C238" s="2" t="str">
        <x:v>zh-&gt;en</x:v>
      </x:c>
      <x:c r="D238" s="2" t="str">
        <x:v>vit</x:v>
      </x:c>
      <x:c r="E238" s="19" t="str">
        <x:v>原始ViT提高微调图像分辨率时如何调整位置嵌入？</x:v>
      </x:c>
      <x:c r="F238" s="7" t="n">
        <x:v>1</x:v>
      </x:c>
      <x:c r="G238" s="7"/>
      <x:c r="H238" s="7" t="n">
        <x:v>0</x:v>
      </x:c>
      <x:c r="I238" s="20" t="n">
        <x:f>IF(H238&gt;0,1,0)</x:f>
        <x:v>0</x:v>
      </x:c>
      <x:c r="J238" s="8" t="n">
        <x:f>H238/F238</x:f>
        <x:v>0</x:v>
      </x:c>
      <x:c r="K238" s="9" t="n">
        <x:f>IF(G238="",0,1/G238)</x:f>
        <x:v>0</x:v>
      </x:c>
      <x:c r="L238" s="10" t="n">
        <x:v>1521.215625001787</x:v>
      </x:c>
      <x:c r="M238" s="10" t="n">
        <x:v>1507.0316250021278</x:v>
      </x:c>
      <x:c r="N238" s="10" t="n">
        <x:v>1509.1472919993976</x:v>
      </x:c>
      <x:c r="O238" s="10" t="n">
        <x:f>AVERAGE(L238:N238)</x:f>
        <x:v>1512.4648473344375</x:v>
      </x:c>
      <x:c r="P238" s="19" t="str">
        <x:v>127d05940603
c3e2a30b7743
fe92a83a9be3
df5f4497c074
7a8104b7b265</x:v>
      </x:c>
      <x:c r="Q238" s="19" t="str">
        <x:v>vision_survey.pdf 第2页
vit.pdf 第9页
vision_survey.pdf 第4页
vision_survey.pdf 第4页
vision_survey.pdf 第3页</x:v>
      </x:c>
    </x:row>
    <x:row r="239" ht="95" customHeight="1">
      <x:c r="A239" s="2" t="str">
        <x:v>混合+重排序</x:v>
      </x:c>
      <x:c r="B239" s="2" t="str">
        <x:v>vit-06-en</x:v>
      </x:c>
      <x:c r="C239" s="2" t="str">
        <x:v>en-&gt;en</x:v>
      </x:c>
      <x:c r="D239" s="2" t="str">
        <x:v>vit</x:v>
      </x:c>
      <x:c r="E239" s="19" t="str">
        <x:v>How does the original ViT adjust positional embeddings when fine-tuning at higher image resolution?</x:v>
      </x:c>
      <x:c r="F239" s="7" t="n">
        <x:v>1</x:v>
      </x:c>
      <x:c r="G239" s="7" t="n">
        <x:v>3</x:v>
      </x:c>
      <x:c r="H239" s="7" t="n">
        <x:v>1</x:v>
      </x:c>
      <x:c r="I239" s="20" t="n">
        <x:f>IF(H239&gt;0,1,0)</x:f>
        <x:v>1</x:v>
      </x:c>
      <x:c r="J239" s="8" t="n">
        <x:f>H239/F239</x:f>
        <x:v>1</x:v>
      </x:c>
      <x:c r="K239" s="9" t="n">
        <x:f>IF(G239="",0,1/G239)</x:f>
        <x:v>0.3333333333333333</x:v>
      </x:c>
      <x:c r="L239" s="10" t="n">
        <x:v>876.3927500003774</x:v>
      </x:c>
      <x:c r="M239" s="10" t="n">
        <x:v>867.0366250007646</x:v>
      </x:c>
      <x:c r="N239" s="10" t="n">
        <x:v>856.3854580024781</x:v>
      </x:c>
      <x:c r="O239" s="10" t="n">
        <x:f>AVERAGE(L239:N239)</x:f>
        <x:v>866.60494433454</x:v>
      </x:c>
      <x:c r="P239" s="19" t="str">
        <x:v>5b02dff2de83
40f8d16aaec2
3d62a45b1688
35b8ef654a38
8c8caa8c9f8f</x:v>
      </x:c>
      <x:c r="Q239" s="19" t="str">
        <x:v>vit.pdf 第4页
vit.pdf 第4页
vit.pdf 第4页
vit.pdf 第13页
vit.pdf 第18页</x:v>
      </x:c>
    </x:row>
    <x:row r="240" ht="95" customHeight="1">
      <x:c r="A240" s="2" t="str">
        <x:v>混合+重排序</x:v>
      </x:c>
      <x:c r="B240" s="2" t="str">
        <x:v>vit-07-zh</x:v>
      </x:c>
      <x:c r="C240" s="2" t="str">
        <x:v>zh-&gt;en</x:v>
      </x:c>
      <x:c r="D240" s="2" t="str">
        <x:v>vit</x:v>
      </x:c>
      <x:c r="E240" s="19" t="str">
        <x:v>原始ViT的ImageNet-21k预训练集类别数和图像数是多少？</x:v>
      </x:c>
      <x:c r="F240" s="7" t="n">
        <x:v>1</x:v>
      </x:c>
      <x:c r="G240" s="7" t="n">
        <x:v>2</x:v>
      </x:c>
      <x:c r="H240" s="7" t="n">
        <x:v>1</x:v>
      </x:c>
      <x:c r="I240" s="20" t="n">
        <x:f>IF(H240&gt;0,1,0)</x:f>
        <x:v>1</x:v>
      </x:c>
      <x:c r="J240" s="8" t="n">
        <x:f>H240/F240</x:f>
        <x:v>1</x:v>
      </x:c>
      <x:c r="K240" s="9" t="n">
        <x:f>IF(G240="",0,1/G240)</x:f>
        <x:v>0.5</x:v>
      </x:c>
      <x:c r="L240" s="10" t="n">
        <x:v>1492.9931670012593</x:v>
      </x:c>
      <x:c r="M240" s="10" t="n">
        <x:v>1479.203666000103</x:v>
      </x:c>
      <x:c r="N240" s="10" t="n">
        <x:v>1483.6468329995114</x:v>
      </x:c>
      <x:c r="O240" s="10" t="n">
        <x:f>AVERAGE(L240:N240)</x:f>
        <x:v>1485.2812220002913</x:v>
      </x:c>
      <x:c r="P240" s="19" t="str">
        <x:v>216400db327d
abe2f1d08bd6
1656962e3326
aaa1c0527abb
1649d42ecbf2</x:v>
      </x:c>
      <x:c r="Q240" s="19" t="str">
        <x:v>vit.pdf 第7页
vit.pdf 第4页
vit.pdf 第6页
vit.pdf 第7页
vit.pdf 第14页</x:v>
      </x:c>
    </x:row>
    <x:row r="241" ht="95" customHeight="1">
      <x:c r="A241" s="2" t="str">
        <x:v>混合+重排序</x:v>
      </x:c>
      <x:c r="B241" s="2" t="str">
        <x:v>vit-07-en</x:v>
      </x:c>
      <x:c r="C241" s="2" t="str">
        <x:v>en-&gt;en</x:v>
      </x:c>
      <x:c r="D241" s="2" t="str">
        <x:v>vit</x:v>
      </x:c>
      <x:c r="E241" s="19" t="str">
        <x:v>How many classes and images are in the ImageNet-21k pre-training set of the original ViT?</x:v>
      </x:c>
      <x:c r="F241" s="7" t="n">
        <x:v>1</x:v>
      </x:c>
      <x:c r="G241" s="7" t="n">
        <x:v>1</x:v>
      </x:c>
      <x:c r="H241" s="7" t="n">
        <x:v>1</x:v>
      </x:c>
      <x:c r="I241" s="20" t="n">
        <x:f>IF(H241&gt;0,1,0)</x:f>
        <x:v>1</x:v>
      </x:c>
      <x:c r="J241" s="8" t="n">
        <x:f>H241/F241</x:f>
        <x:v>1</x:v>
      </x:c>
      <x:c r="K241" s="9" t="n">
        <x:f>IF(G241="",0,1/G241)</x:f>
        <x:v>1</x:v>
      </x:c>
      <x:c r="L241" s="10" t="n">
        <x:v>727.0759579987498</x:v>
      </x:c>
      <x:c r="M241" s="10" t="n">
        <x:v>717.1491250010149</x:v>
      </x:c>
      <x:c r="N241" s="10" t="n">
        <x:v>720.811874998617</x:v>
      </x:c>
      <x:c r="O241" s="10" t="n">
        <x:f>AVERAGE(L241:N241)</x:f>
        <x:v>721.6789859994606</x:v>
      </x:c>
      <x:c r="P241" s="19" t="str">
        <x:v>abe2f1d08bd6
9b043bf90959
1649d42ecbf2
216400db327d
cb14db4e7d9b</x:v>
      </x:c>
      <x:c r="Q241" s="19" t="str">
        <x:v>vit.pdf 第4页
vit.pdf 第2页
vit.pdf 第14页
vit.pdf 第7页
vit.pdf 第6页</x:v>
      </x:c>
    </x:row>
    <x:row r="242" ht="95" customHeight="1">
      <x:c r="A242" s="2" t="str">
        <x:v>混合+重排序</x:v>
      </x:c>
      <x:c r="B242" s="2" t="str">
        <x:v>vit-08-zh</x:v>
      </x:c>
      <x:c r="C242" s="2" t="str">
        <x:v>zh-&gt;en</x:v>
      </x:c>
      <x:c r="D242" s="2" t="str">
        <x:v>vit</x:v>
      </x:c>
      <x:c r="E242" s="19" t="str">
        <x:v>原始ViT微调采用什么优化器及动量值？</x:v>
      </x:c>
      <x:c r="F242" s="7" t="n">
        <x:v>1</x:v>
      </x:c>
      <x:c r="G242" s="7"/>
      <x:c r="H242" s="7" t="n">
        <x:v>0</x:v>
      </x:c>
      <x:c r="I242" s="20" t="n">
        <x:f>IF(H242&gt;0,1,0)</x:f>
        <x:v>0</x:v>
      </x:c>
      <x:c r="J242" s="8" t="n">
        <x:f>H242/F242</x:f>
        <x:v>0</x:v>
      </x:c>
      <x:c r="K242" s="9" t="n">
        <x:f>IF(G242="",0,1/G242)</x:f>
        <x:v>0</x:v>
      </x:c>
      <x:c r="L242" s="10" t="n">
        <x:v>1492.0299170007638</x:v>
      </x:c>
      <x:c r="M242" s="10" t="n">
        <x:v>1472.044709000329</x:v>
      </x:c>
      <x:c r="N242" s="10" t="n">
        <x:v>1477.1469999977853</x:v>
      </x:c>
      <x:c r="O242" s="10" t="n">
        <x:f>AVERAGE(L242:N242)</x:f>
        <x:v>1480.4072086662927</x:v>
      </x:c>
      <x:c r="P242" s="19" t="str">
        <x:v>40c9b2120ad1
eaffa99c94da
9b0b9c2680b6
fe92a83a9be3
69912204f088</x:v>
      </x:c>
      <x:c r="Q242" s="19" t="str">
        <x:v>vit.pdf 第8页
compression.pdf 第8页
vit.pdf 第6页
vision_survey.pdf 第4页
vit.pdf 第8页</x:v>
      </x:c>
    </x:row>
    <x:row r="243" ht="95" customHeight="1">
      <x:c r="A243" s="2" t="str">
        <x:v>混合+重排序</x:v>
      </x:c>
      <x:c r="B243" s="2" t="str">
        <x:v>vit-08-en</x:v>
      </x:c>
      <x:c r="C243" s="2" t="str">
        <x:v>en-&gt;en</x:v>
      </x:c>
      <x:c r="D243" s="2" t="str">
        <x:v>vit</x:v>
      </x:c>
      <x:c r="E243" s="19" t="str">
        <x:v>Which optimizer and momentum value are used for fine-tuning the original ViT?</x:v>
      </x:c>
      <x:c r="F243" s="7" t="n">
        <x:v>1</x:v>
      </x:c>
      <x:c r="G243" s="7" t="n">
        <x:v>1</x:v>
      </x:c>
      <x:c r="H243" s="7" t="n">
        <x:v>1</x:v>
      </x:c>
      <x:c r="I243" s="20" t="n">
        <x:f>IF(H243&gt;0,1,0)</x:f>
        <x:v>1</x:v>
      </x:c>
      <x:c r="J243" s="8" t="n">
        <x:f>H243/F243</x:f>
        <x:v>1</x:v>
      </x:c>
      <x:c r="K243" s="9" t="n">
        <x:f>IF(G243="",0,1/G243)</x:f>
        <x:v>1</x:v>
      </x:c>
      <x:c r="L243" s="10" t="n">
        <x:v>791.7287079981179</x:v>
      </x:c>
      <x:c r="M243" s="10" t="n">
        <x:v>783.9630840026075</x:v>
      </x:c>
      <x:c r="N243" s="10" t="n">
        <x:v>790.4949160001706</x:v>
      </x:c>
      <x:c r="O243" s="10" t="n">
        <x:f>AVERAGE(L243:N243)</x:f>
        <x:v>788.7289026669654</x:v>
      </x:c>
      <x:c r="P243" s="19" t="str">
        <x:v>35b8ef654a38
0fb0eae9597c
95bfe4ba3a65
6ba0363437db
16c65d443367</x:v>
      </x:c>
      <x:c r="Q243" s="19" t="str">
        <x:v>vit.pdf 第13页
vit.pdf 第5页
vit.pdf 第15页
vit.pdf 第16页
vit.pdf 第22页</x:v>
      </x:c>
    </x:row>
    <x:row r="244" ht="95" customHeight="1">
      <x:c r="A244" s="2" t="str">
        <x:v>混合+重排序</x:v>
      </x:c>
      <x:c r="B244" s="2" t="str">
        <x:v>cnn_survey-01-zh</x:v>
      </x:c>
      <x:c r="C244" s="2" t="str">
        <x:v>zh-&gt;zh</x:v>
      </x:c>
      <x:c r="D244" s="2" t="str">
        <x:v>cnn_survey</x:v>
      </x:c>
      <x:c r="E244" s="19" t="str">
        <x:v>周飞燕等的CNN综述中，卷积层为什么能减少可训练参数？</x:v>
      </x:c>
      <x:c r="F244" s="7" t="n">
        <x:v>2</x:v>
      </x:c>
      <x:c r="G244" s="7"/>
      <x:c r="H244" s="7" t="n">
        <x:v>0</x:v>
      </x:c>
      <x:c r="I244" s="20" t="n">
        <x:f>IF(H244&gt;0,1,0)</x:f>
        <x:v>0</x:v>
      </x:c>
      <x:c r="J244" s="8" t="n">
        <x:f>H244/F244</x:f>
        <x:v>0</x:v>
      </x:c>
      <x:c r="K244" s="9" t="n">
        <x:f>IF(G244="",0,1/G244)</x:f>
        <x:v>0</x:v>
      </x:c>
      <x:c r="L244" s="10" t="n">
        <x:v>1636.4731249996112</x:v>
      </x:c>
      <x:c r="M244" s="10" t="n">
        <x:v>1567.1892919999664</x:v>
      </x:c>
      <x:c r="N244" s="10" t="n">
        <x:v>1568.9232080003421</x:v>
      </x:c>
      <x:c r="O244" s="10" t="n">
        <x:f>AVERAGE(L244:N244)</x:f>
        <x:v>1590.8618749999732</x:v>
      </x:c>
      <x:c r="P244" s="19" t="str">
        <x:v>4c330de3aa55
643311f2d6d5
d2600e5d0758
a30034f8a1e5
6e11ec046b73</x:v>
      </x:c>
      <x:c r="Q244" s="19" t="str">
        <x:v>cnn_survey.pdf 第17页
cnn_survey.pdf 第5页
cnn_survey.pdf 第5页
cnn_survey.pdf 第6页
cnn_survey.pdf 第7页</x:v>
      </x:c>
    </x:row>
    <x:row r="245" ht="95" customHeight="1">
      <x:c r="A245" s="2" t="str">
        <x:v>混合+重排序</x:v>
      </x:c>
      <x:c r="B245" s="2" t="str">
        <x:v>cnn_survey-01-en</x:v>
      </x:c>
      <x:c r="C245" s="2" t="str">
        <x:v>en-&gt;zh</x:v>
      </x:c>
      <x:c r="D245" s="2" t="str">
        <x:v>cnn_survey</x:v>
      </x:c>
      <x:c r="E245" s="19" t="str">
        <x:v>According to Zhou et al. CNN survey, why can convolutional layers reduce trainable parameters?</x:v>
      </x:c>
      <x:c r="F245" s="7" t="n">
        <x:v>2</x:v>
      </x:c>
      <x:c r="G245" s="7"/>
      <x:c r="H245" s="7" t="n">
        <x:v>0</x:v>
      </x:c>
      <x:c r="I245" s="20" t="n">
        <x:f>IF(H245&gt;0,1,0)</x:f>
        <x:v>0</x:v>
      </x:c>
      <x:c r="J245" s="8" t="n">
        <x:f>H245/F245</x:f>
        <x:v>0</x:v>
      </x:c>
      <x:c r="K245" s="9" t="n">
        <x:f>IF(G245="",0,1/G245)</x:f>
        <x:v>0</x:v>
      </x:c>
      <x:c r="L245" s="10" t="n">
        <x:v>736.9520840002224</x:v>
      </x:c>
      <x:c r="M245" s="10" t="n">
        <x:v>730.0545840007544</x:v>
      </x:c>
      <x:c r="N245" s="10" t="n">
        <x:v>737.0677919971058</x:v>
      </x:c>
      <x:c r="O245" s="10" t="n">
        <x:f>AVERAGE(L245:N245)</x:f>
        <x:v>734.6914866660276</x:v>
      </x:c>
      <x:c r="P245" s="19" t="str">
        <x:v>6689608f567c
ba725efd54d8
b96f6b7b51ca
605f8c14194d
6fa0d8afc8be</x:v>
      </x:c>
      <x:c r="Q245" s="19" t="str">
        <x:v>cnn_survey.pdf 第23页
cnn_survey.pdf 第2页
cnn_survey.pdf 第22页
vit.pdf 第8页
attention.pdf 第6页</x:v>
      </x:c>
    </x:row>
    <x:row r="246" ht="95" customHeight="1">
      <x:c r="A246" s="2" t="str">
        <x:v>混合+重排序</x:v>
      </x:c>
      <x:c r="B246" s="2" t="str">
        <x:v>cnn_survey-02-zh</x:v>
      </x:c>
      <x:c r="C246" s="2" t="str">
        <x:v>zh-&gt;zh</x:v>
      </x:c>
      <x:c r="D246" s="2" t="str">
        <x:v>cnn_survey</x:v>
      </x:c>
      <x:c r="E246" s="19" t="str">
        <x:v>周飞燕等的CNN综述中，最大池化和均值池化分别怎么计算？</x:v>
      </x:c>
      <x:c r="F246" s="7" t="n">
        <x:v>1</x:v>
      </x:c>
      <x:c r="G246" s="7" t="n">
        <x:v>2</x:v>
      </x:c>
      <x:c r="H246" s="7" t="n">
        <x:v>1</x:v>
      </x:c>
      <x:c r="I246" s="20" t="n">
        <x:f>IF(H246&gt;0,1,0)</x:f>
        <x:v>1</x:v>
      </x:c>
      <x:c r="J246" s="8" t="n">
        <x:f>H246/F246</x:f>
        <x:v>1</x:v>
      </x:c>
      <x:c r="K246" s="9" t="n">
        <x:f>IF(G246="",0,1/G246)</x:f>
        <x:v>0.5</x:v>
      </x:c>
      <x:c r="L246" s="10" t="n">
        <x:v>1669.1690419975203</x:v>
      </x:c>
      <x:c r="M246" s="10" t="n">
        <x:v>1662.6604580014828</x:v>
      </x:c>
      <x:c r="N246" s="10" t="n">
        <x:v>1658.7752910018025</x:v>
      </x:c>
      <x:c r="O246" s="10" t="n">
        <x:f>AVERAGE(L246:N246)</x:f>
        <x:v>1663.5349303336018</x:v>
      </x:c>
      <x:c r="P246" s="19" t="str">
        <x:v>f2bf4875d6e6
a30034f8a1e5
f49ac1262307
4c330de3aa55
59cf668d4f71</x:v>
      </x:c>
      <x:c r="Q246" s="19" t="str">
        <x:v>cnn_survey.pdf 第6页
cnn_survey.pdf 第6页
cnn_survey.pdf 第6页
cnn_survey.pdf 第17页
cnn_survey.pdf 第9页</x:v>
      </x:c>
    </x:row>
    <x:row r="247" ht="95" customHeight="1">
      <x:c r="A247" s="2" t="str">
        <x:v>混合+重排序</x:v>
      </x:c>
      <x:c r="B247" s="2" t="str">
        <x:v>cnn_survey-02-en</x:v>
      </x:c>
      <x:c r="C247" s="2" t="str">
        <x:v>en-&gt;zh</x:v>
      </x:c>
      <x:c r="D247" s="2" t="str">
        <x:v>cnn_survey</x:v>
      </x:c>
      <x:c r="E247" s="19" t="str">
        <x:v>According to Zhou et al. CNN survey, how are max pooling and average pooling computed?</x:v>
      </x:c>
      <x:c r="F247" s="7" t="n">
        <x:v>1</x:v>
      </x:c>
      <x:c r="G247" s="7"/>
      <x:c r="H247" s="7" t="n">
        <x:v>0</x:v>
      </x:c>
      <x:c r="I247" s="20" t="n">
        <x:f>IF(H247&gt;0,1,0)</x:f>
        <x:v>0</x:v>
      </x:c>
      <x:c r="J247" s="8" t="n">
        <x:f>H247/F247</x:f>
        <x:v>0</x:v>
      </x:c>
      <x:c r="K247" s="9" t="n">
        <x:f>IF(G247="",0,1/G247)</x:f>
        <x:v>0</x:v>
      </x:c>
      <x:c r="L247" s="10" t="n">
        <x:v>942.8372920010588</x:v>
      </x:c>
      <x:c r="M247" s="10" t="n">
        <x:v>933.3898750010121</x:v>
      </x:c>
      <x:c r="N247" s="10" t="n">
        <x:v>922.2039169981144</x:v>
      </x:c>
      <x:c r="O247" s="10" t="n">
        <x:f>AVERAGE(L247:N247)</x:f>
        <x:v>932.8103613333951</x:v>
      </x:c>
      <x:c r="P247" s="19" t="str">
        <x:v>260dae2cb298
6949ca0340c7
a14727952238
c44578918dc7
6091b63ae8ca</x:v>
      </x:c>
      <x:c r="Q247" s="19" t="str">
        <x:v>vit.pdf 第16页
cnn_survey.pdf 第20页
vision_survey.pdf 第21页
cnn_survey.pdf 第21页
compression.pdf 第11页</x:v>
      </x:c>
    </x:row>
    <x:row r="248" ht="95" customHeight="1">
      <x:c r="A248" s="2" t="str">
        <x:v>混合+重排序</x:v>
      </x:c>
      <x:c r="B248" s="2" t="str">
        <x:v>cnn_survey-03-zh</x:v>
      </x:c>
      <x:c r="C248" s="2" t="str">
        <x:v>zh-&gt;zh</x:v>
      </x:c>
      <x:c r="D248" s="2" t="str">
        <x:v>cnn_survey</x:v>
      </x:c>
      <x:c r="E248" s="19" t="str">
        <x:v>周飞燕等的CNN综述怎样解释dropout防止过拟合？</x:v>
      </x:c>
      <x:c r="F248" s="7" t="n">
        <x:v>1</x:v>
      </x:c>
      <x:c r="G248" s="7" t="n">
        <x:v>1</x:v>
      </x:c>
      <x:c r="H248" s="7" t="n">
        <x:v>1</x:v>
      </x:c>
      <x:c r="I248" s="20" t="n">
        <x:f>IF(H248&gt;0,1,0)</x:f>
        <x:v>1</x:v>
      </x:c>
      <x:c r="J248" s="8" t="n">
        <x:f>H248/F248</x:f>
        <x:v>1</x:v>
      </x:c>
      <x:c r="K248" s="9" t="n">
        <x:f>IF(G248="",0,1/G248)</x:f>
        <x:v>1</x:v>
      </x:c>
      <x:c r="L248" s="10" t="n">
        <x:v>1520.6987080018735</x:v>
      </x:c>
      <x:c r="M248" s="10" t="n">
        <x:v>1511.3158329986618</x:v>
      </x:c>
      <x:c r="N248" s="10" t="n">
        <x:v>1508.6597919980704</x:v>
      </x:c>
      <x:c r="O248" s="10" t="n">
        <x:f>AVERAGE(L248:N248)</x:f>
        <x:v>1513.5581109995353</x:v>
      </x:c>
      <x:c r="P248" s="19" t="str">
        <x:v>cfca20a6a32a
680d3ab51008
42b4f550385e
a1c660bbd488
643311f2d6d5</x:v>
      </x:c>
      <x:c r="Q248" s="19" t="str">
        <x:v>cnn_survey.pdf 第7页
cnn_survey.pdf 第11页
cnn_survey.pdf 第8页
cnn_survey.pdf 第10页
cnn_survey.pdf 第5页</x:v>
      </x:c>
    </x:row>
    <x:row r="249" ht="95" customHeight="1">
      <x:c r="A249" s="2" t="str">
        <x:v>混合+重排序</x:v>
      </x:c>
      <x:c r="B249" s="2" t="str">
        <x:v>cnn_survey-03-en</x:v>
      </x:c>
      <x:c r="C249" s="2" t="str">
        <x:v>en-&gt;zh</x:v>
      </x:c>
      <x:c r="D249" s="2" t="str">
        <x:v>cnn_survey</x:v>
      </x:c>
      <x:c r="E249" s="19" t="str">
        <x:v>How does Zhou et al. CNN survey explain the way dropout prevents overfitting?</x:v>
      </x:c>
      <x:c r="F249" s="7" t="n">
        <x:v>1</x:v>
      </x:c>
      <x:c r="G249" s="7"/>
      <x:c r="H249" s="7" t="n">
        <x:v>0</x:v>
      </x:c>
      <x:c r="I249" s="20" t="n">
        <x:f>IF(H249&gt;0,1,0)</x:f>
        <x:v>0</x:v>
      </x:c>
      <x:c r="J249" s="8" t="n">
        <x:f>H249/F249</x:f>
        <x:v>0</x:v>
      </x:c>
      <x:c r="K249" s="9" t="n">
        <x:f>IF(G249="",0,1/G249)</x:f>
        <x:v>0</x:v>
      </x:c>
      <x:c r="L249" s="10" t="n">
        <x:v>777.9516670016164</x:v>
      </x:c>
      <x:c r="M249" s="10" t="n">
        <x:v>775.310459001048</x:v>
      </x:c>
      <x:c r="N249" s="10" t="n">
        <x:v>765.4185419996793</x:v>
      </x:c>
      <x:c r="O249" s="10" t="n">
        <x:f>AVERAGE(L249:N249)</x:f>
        <x:v>772.8935560007812</x:v>
      </x:c>
      <x:c r="P249" s="19" t="str">
        <x:v>d001fc3b29f7
3754cb9c4e07
dbf2fcb223e4
017e75122f3a
f6fa6b8498cb</x:v>
      </x:c>
      <x:c r="Q249" s="19" t="str">
        <x:v>cnn_survey.pdf 第20页
attention.pdf 第12页
bert.pdf 第13页
vit.pdf 第2页
vit.pdf 第2页</x:v>
      </x:c>
    </x:row>
    <x:row r="250" ht="95" customHeight="1">
      <x:c r="A250" s="2" t="str">
        <x:v>混合+重排序</x:v>
      </x:c>
      <x:c r="B250" s="2" t="str">
        <x:v>cnn_survey-04-zh</x:v>
      </x:c>
      <x:c r="C250" s="2" t="str">
        <x:v>zh-&gt;zh</x:v>
      </x:c>
      <x:c r="D250" s="2" t="str">
        <x:v>cnn_survey</x:v>
      </x:c>
      <x:c r="E250" s="19" t="str">
        <x:v>周飞燕等的CNN综述中，网中网怎样替代卷积和全连接层？</x:v>
      </x:c>
      <x:c r="F250" s="7" t="n">
        <x:v>2</x:v>
      </x:c>
      <x:c r="G250" s="7" t="n">
        <x:v>2</x:v>
      </x:c>
      <x:c r="H250" s="7" t="n">
        <x:v>2</x:v>
      </x:c>
      <x:c r="I250" s="20" t="n">
        <x:f>IF(H250&gt;0,1,0)</x:f>
        <x:v>1</x:v>
      </x:c>
      <x:c r="J250" s="8" t="n">
        <x:f>H250/F250</x:f>
        <x:v>1</x:v>
      </x:c>
      <x:c r="K250" s="9" t="n">
        <x:f>IF(G250="",0,1/G250)</x:f>
        <x:v>0.5</x:v>
      </x:c>
      <x:c r="L250" s="10" t="n">
        <x:v>1747.0892910023395</x:v>
      </x:c>
      <x:c r="M250" s="10" t="n">
        <x:v>1788.9963750021707</x:v>
      </x:c>
      <x:c r="N250" s="10" t="n">
        <x:v>1757.061958000122</x:v>
      </x:c>
      <x:c r="O250" s="10" t="n">
        <x:f>AVERAGE(L250:N250)</x:f>
        <x:v>1764.3825413348775</x:v>
      </x:c>
      <x:c r="P250" s="19" t="str">
        <x:v>6e11ec046b73
e33f71e8fd9e
7e86dfaddc48
643311f2d6d5
59cf668d4f71</x:v>
      </x:c>
      <x:c r="Q250" s="19" t="str">
        <x:v>cnn_survey.pdf 第7页
cnn_survey.pdf 第8页
cnn_survey.pdf 第8页
cnn_survey.pdf 第5页
cnn_survey.pdf 第9页</x:v>
      </x:c>
    </x:row>
    <x:row r="251" ht="95" customHeight="1">
      <x:c r="A251" s="2" t="str">
        <x:v>混合+重排序</x:v>
      </x:c>
      <x:c r="B251" s="2" t="str">
        <x:v>cnn_survey-04-en</x:v>
      </x:c>
      <x:c r="C251" s="2" t="str">
        <x:v>en-&gt;zh</x:v>
      </x:c>
      <x:c r="D251" s="2" t="str">
        <x:v>cnn_survey</x:v>
      </x:c>
      <x:c r="E251" s="19" t="str">
        <x:v>In Zhou et al. CNN survey, how does Network in Network replace convolution and fully connected layers?</x:v>
      </x:c>
      <x:c r="F251" s="7" t="n">
        <x:v>2</x:v>
      </x:c>
      <x:c r="G251" s="7"/>
      <x:c r="H251" s="7" t="n">
        <x:v>0</x:v>
      </x:c>
      <x:c r="I251" s="20" t="n">
        <x:f>IF(H251&gt;0,1,0)</x:f>
        <x:v>0</x:v>
      </x:c>
      <x:c r="J251" s="8" t="n">
        <x:f>H251/F251</x:f>
        <x:v>0</x:v>
      </x:c>
      <x:c r="K251" s="9" t="n">
        <x:f>IF(G251="",0,1/G251)</x:f>
        <x:v>0</x:v>
      </x:c>
      <x:c r="L251" s="10" t="n">
        <x:v>936.5172079997137</x:v>
      </x:c>
      <x:c r="M251" s="10" t="n">
        <x:v>862.4893340020208</x:v>
      </x:c>
      <x:c r="N251" s="10" t="n">
        <x:v>852.3341250001977</x:v>
      </x:c>
      <x:c r="O251" s="10" t="n">
        <x:f>AVERAGE(L251:N251)</x:f>
        <x:v>883.7802223339773</x:v>
      </x:c>
      <x:c r="P251" s="19" t="str">
        <x:v>e8f06eb67def
3886ea477e1a
92f8ad03bc04
12b90829f29b
430cc231bdbc</x:v>
      </x:c>
      <x:c r="Q251" s="19" t="str">
        <x:v>cnn_survey.pdf 第2页
attention.pdf 第3页
attention.pdf 第3页
attention.pdf 第7页
vit.pdf 第1页</x:v>
      </x:c>
    </x:row>
    <x:row r="252" ht="95" customHeight="1">
      <x:c r="A252" s="2" t="str">
        <x:v>混合+重排序</x:v>
      </x:c>
      <x:c r="B252" s="2" t="str">
        <x:v>cnn_survey-05-zh</x:v>
      </x:c>
      <x:c r="C252" s="2" t="str">
        <x:v>zh-&gt;zh</x:v>
      </x:c>
      <x:c r="D252" s="2" t="str">
        <x:v>cnn_survey</x:v>
      </x:c>
      <x:c r="E252" s="19" t="str">
        <x:v>周飞燕等的CNN综述中，空间变换网络由哪些组件构成？</x:v>
      </x:c>
      <x:c r="F252" s="7" t="n">
        <x:v>1</x:v>
      </x:c>
      <x:c r="G252" s="7"/>
      <x:c r="H252" s="7" t="n">
        <x:v>0</x:v>
      </x:c>
      <x:c r="I252" s="20" t="n">
        <x:f>IF(H252&gt;0,1,0)</x:f>
        <x:v>0</x:v>
      </x:c>
      <x:c r="J252" s="8" t="n">
        <x:f>H252/F252</x:f>
        <x:v>0</x:v>
      </x:c>
      <x:c r="K252" s="9" t="n">
        <x:f>IF(G252="",0,1/G252)</x:f>
        <x:v>0</x:v>
      </x:c>
      <x:c r="L252" s="10" t="n">
        <x:v>1530.4063750008936</x:v>
      </x:c>
      <x:c r="M252" s="10" t="n">
        <x:v>1506.3161670004774</x:v>
      </x:c>
      <x:c r="N252" s="10" t="n">
        <x:v>1543.406959001004</x:v>
      </x:c>
      <x:c r="O252" s="10" t="n">
        <x:f>AVERAGE(L252:N252)</x:f>
        <x:v>1526.7098336674583</x:v>
      </x:c>
      <x:c r="P252" s="19" t="str">
        <x:v>670f5ed67a6d
42b4f550385e
59cf668d4f71
643311f2d6d5
6e11ec046b73</x:v>
      </x:c>
      <x:c r="Q252" s="19" t="str">
        <x:v>vision_survey.pdf 第17页
cnn_survey.pdf 第8页
cnn_survey.pdf 第9页
cnn_survey.pdf 第5页
cnn_survey.pdf 第7页</x:v>
      </x:c>
    </x:row>
    <x:row r="253" ht="95" customHeight="1">
      <x:c r="A253" s="2" t="str">
        <x:v>混合+重排序</x:v>
      </x:c>
      <x:c r="B253" s="2" t="str">
        <x:v>cnn_survey-05-en</x:v>
      </x:c>
      <x:c r="C253" s="2" t="str">
        <x:v>en-&gt;zh</x:v>
      </x:c>
      <x:c r="D253" s="2" t="str">
        <x:v>cnn_survey</x:v>
      </x:c>
      <x:c r="E253" s="19" t="str">
        <x:v>In Zhou et al. CNN survey, which components make up a spatial transformer network?</x:v>
      </x:c>
      <x:c r="F253" s="7" t="n">
        <x:v>1</x:v>
      </x:c>
      <x:c r="G253" s="7"/>
      <x:c r="H253" s="7" t="n">
        <x:v>0</x:v>
      </x:c>
      <x:c r="I253" s="20" t="n">
        <x:f>IF(H253&gt;0,1,0)</x:f>
        <x:v>0</x:v>
      </x:c>
      <x:c r="J253" s="8" t="n">
        <x:f>H253/F253</x:f>
        <x:v>0</x:v>
      </x:c>
      <x:c r="K253" s="9" t="n">
        <x:f>IF(G253="",0,1/G253)</x:f>
        <x:v>0</x:v>
      </x:c>
      <x:c r="L253" s="10" t="n">
        <x:v>1147.7239170017128</x:v>
      </x:c>
      <x:c r="M253" s="10" t="n">
        <x:v>1128.5902080016967</x:v>
      </x:c>
      <x:c r="N253" s="10" t="n">
        <x:v>1126.2142919986218</x:v>
      </x:c>
      <x:c r="O253" s="10" t="n">
        <x:f>AVERAGE(L253:N253)</x:f>
        <x:v>1134.176139000677</x:v>
      </x:c>
      <x:c r="P253" s="19" t="str">
        <x:v>b96f6b7b51ca
d6fd2f567c59
e639741a12ee
b8d563f4284a
b5dad46f8fd0</x:v>
      </x:c>
      <x:c r="Q253" s="19" t="str">
        <x:v>cnn_survey.pdf 第22页
cnn_survey.pdf 第20页
vision_survey.pdf 第2页
cnn_survey.pdf 第2页
vision_survey.pdf 第5页</x:v>
      </x:c>
    </x:row>
    <x:row r="254" ht="95" customHeight="1">
      <x:c r="A254" s="2" t="str">
        <x:v>混合+重排序</x:v>
      </x:c>
      <x:c r="B254" s="2" t="str">
        <x:v>cnn_survey-06-zh</x:v>
      </x:c>
      <x:c r="C254" s="2" t="str">
        <x:v>zh-&gt;zh</x:v>
      </x:c>
      <x:c r="D254" s="2" t="str">
        <x:v>cnn_survey</x:v>
      </x:c>
      <x:c r="E254" s="19" t="str">
        <x:v>周飞燕等的CNN综述为什么要求以不同的小随机数初始化权重？</x:v>
      </x:c>
      <x:c r="F254" s="7" t="n">
        <x:v>1</x:v>
      </x:c>
      <x:c r="G254" s="7" t="n">
        <x:v>1</x:v>
      </x:c>
      <x:c r="H254" s="7" t="n">
        <x:v>1</x:v>
      </x:c>
      <x:c r="I254" s="20" t="n">
        <x:f>IF(H254&gt;0,1,0)</x:f>
        <x:v>1</x:v>
      </x:c>
      <x:c r="J254" s="8" t="n">
        <x:f>H254/F254</x:f>
        <x:v>1</x:v>
      </x:c>
      <x:c r="K254" s="9" t="n">
        <x:f>IF(G254="",0,1/G254)</x:f>
        <x:v>1</x:v>
      </x:c>
      <x:c r="L254" s="10" t="n">
        <x:v>1584.8290840003756</x:v>
      </x:c>
      <x:c r="M254" s="10" t="n">
        <x:v>1579.0096249984344</x:v>
      </x:c>
      <x:c r="N254" s="10" t="n">
        <x:v>1569.1185840005346</x:v>
      </x:c>
      <x:c r="O254" s="10" t="n">
        <x:f>AVERAGE(L254:N254)</x:f>
        <x:v>1577.6524309997815</x:v>
      </x:c>
      <x:c r="P254" s="19" t="str">
        <x:v>38f71ea35841
e9a22901773e
708d54a64688
4c330de3aa55
643311f2d6d5</x:v>
      </x:c>
      <x:c r="Q254" s="19" t="str">
        <x:v>cnn_survey.pdf 第9页
cnn_survey.pdf 第9页
vision_survey.pdf 第19页
cnn_survey.pdf 第17页
cnn_survey.pdf 第5页</x:v>
      </x:c>
    </x:row>
    <x:row r="255" ht="95" customHeight="1">
      <x:c r="A255" s="2" t="str">
        <x:v>混合+重排序</x:v>
      </x:c>
      <x:c r="B255" s="2" t="str">
        <x:v>cnn_survey-06-en</x:v>
      </x:c>
      <x:c r="C255" s="2" t="str">
        <x:v>en-&gt;zh</x:v>
      </x:c>
      <x:c r="D255" s="2" t="str">
        <x:v>cnn_survey</x:v>
      </x:c>
      <x:c r="E255" s="19" t="str">
        <x:v>Why does Zhou et al. CNN survey require initializing weights with different small random numbers?</x:v>
      </x:c>
      <x:c r="F255" s="7" t="n">
        <x:v>1</x:v>
      </x:c>
      <x:c r="G255" s="7"/>
      <x:c r="H255" s="7" t="n">
        <x:v>0</x:v>
      </x:c>
      <x:c r="I255" s="20" t="n">
        <x:f>IF(H255&gt;0,1,0)</x:f>
        <x:v>0</x:v>
      </x:c>
      <x:c r="J255" s="8" t="n">
        <x:f>H255/F255</x:f>
        <x:v>0</x:v>
      </x:c>
      <x:c r="K255" s="9" t="n">
        <x:f>IF(G255="",0,1/G255)</x:f>
        <x:v>0</x:v>
      </x:c>
      <x:c r="L255" s="10" t="n">
        <x:v>860.4446659992391</x:v>
      </x:c>
      <x:c r="M255" s="10" t="n">
        <x:v>778.1519999989541</x:v>
      </x:c>
      <x:c r="N255" s="10" t="n">
        <x:v>771.8250840007386</x:v>
      </x:c>
      <x:c r="O255" s="10" t="n">
        <x:f>AVERAGE(L255:N255)</x:f>
        <x:v>803.4739166663106</x:v>
      </x:c>
      <x:c r="P255" s="19" t="str">
        <x:v>d4a880565d54
d31487129876
017e75122f3a
a14727952238
3fa2b491543f</x:v>
      </x:c>
      <x:c r="Q255" s="19" t="str">
        <x:v>compression.pdf 第16页
vit.pdf 第20页
vit.pdf 第2页
vision_survey.pdf 第21页
vit.pdf 第1页</x:v>
      </x:c>
    </x:row>
    <x:row r="256" ht="95" customHeight="1">
      <x:c r="A256" s="2" t="str">
        <x:v>混合+重排序</x:v>
      </x:c>
      <x:c r="B256" s="2" t="str">
        <x:v>cnn_survey-07-zh</x:v>
      </x:c>
      <x:c r="C256" s="2" t="str">
        <x:v>zh-&gt;zh</x:v>
      </x:c>
      <x:c r="D256" s="2" t="str">
        <x:v>cnn_survey</x:v>
      </x:c>
      <x:c r="E256" s="19" t="str">
        <x:v>周飞燕等的CNN综述中，残差网络用什么连接缓解深层网络退化？</x:v>
      </x:c>
      <x:c r="F256" s="7" t="n">
        <x:v>1</x:v>
      </x:c>
      <x:c r="G256" s="7" t="n">
        <x:v>1</x:v>
      </x:c>
      <x:c r="H256" s="7" t="n">
        <x:v>1</x:v>
      </x:c>
      <x:c r="I256" s="20" t="n">
        <x:f>IF(H256&gt;0,1,0)</x:f>
        <x:v>1</x:v>
      </x:c>
      <x:c r="J256" s="8" t="n">
        <x:f>H256/F256</x:f>
        <x:v>1</x:v>
      </x:c>
      <x:c r="K256" s="9" t="n">
        <x:f>IF(G256="",0,1/G256)</x:f>
        <x:v>1</x:v>
      </x:c>
      <x:c r="L256" s="10" t="n">
        <x:v>1708.698665999691</x:v>
      </x:c>
      <x:c r="M256" s="10" t="n">
        <x:v>1577.8407500001776</x:v>
      </x:c>
      <x:c r="N256" s="10" t="n">
        <x:v>1579.2844589996093</x:v>
      </x:c>
      <x:c r="O256" s="10" t="n">
        <x:f>AVERAGE(L256:N256)</x:f>
        <x:v>1621.9412916664926</x:v>
      </x:c>
      <x:c r="P256" s="19" t="str">
        <x:v>caf41a180249
beabb1c66a9e
643311f2d6d5
6e11ec046b73
4c330de3aa55</x:v>
      </x:c>
      <x:c r="Q256" s="19" t="str">
        <x:v>cnn_survey.pdf 第12页
cnn_survey.pdf 第11页
cnn_survey.pdf 第5页
cnn_survey.pdf 第7页
cnn_survey.pdf 第17页</x:v>
      </x:c>
    </x:row>
    <x:row r="257" ht="95" customHeight="1">
      <x:c r="A257" s="2" t="str">
        <x:v>混合+重排序</x:v>
      </x:c>
      <x:c r="B257" s="2" t="str">
        <x:v>cnn_survey-07-en</x:v>
      </x:c>
      <x:c r="C257" s="2" t="str">
        <x:v>en-&gt;zh</x:v>
      </x:c>
      <x:c r="D257" s="2" t="str">
        <x:v>cnn_survey</x:v>
      </x:c>
      <x:c r="E257" s="19" t="str">
        <x:v>In Zhou et al. CNN survey, what connection does ResNet use to alleviate degradation in deep networks?</x:v>
      </x:c>
      <x:c r="F257" s="7" t="n">
        <x:v>1</x:v>
      </x:c>
      <x:c r="G257" s="7"/>
      <x:c r="H257" s="7" t="n">
        <x:v>0</x:v>
      </x:c>
      <x:c r="I257" s="20" t="n">
        <x:f>IF(H257&gt;0,1,0)</x:f>
        <x:v>0</x:v>
      </x:c>
      <x:c r="J257" s="8" t="n">
        <x:f>H257/F257</x:f>
        <x:v>0</x:v>
      </x:c>
      <x:c r="K257" s="9" t="n">
        <x:f>IF(G257="",0,1/G257)</x:f>
        <x:v>0</x:v>
      </x:c>
      <x:c r="L257" s="10" t="n">
        <x:v>984.4491250005376</x:v>
      </x:c>
      <x:c r="M257" s="10" t="n">
        <x:v>978.5148750015651</x:v>
      </x:c>
      <x:c r="N257" s="10" t="n">
        <x:v>965.3140410009655</x:v>
      </x:c>
      <x:c r="O257" s="10" t="n">
        <x:f>AVERAGE(L257:N257)</x:f>
        <x:v>976.092680334356</x:v>
      </x:c>
      <x:c r="P257" s="19" t="str">
        <x:v>6091b63ae8ca
f6fa6b8498cb
7624524ee966
2d1ad69814c8
a14727952238</x:v>
      </x:c>
      <x:c r="Q257" s="19" t="str">
        <x:v>compression.pdf 第11页
vit.pdf 第2页
vit.pdf 第1页
cnn_survey.pdf 第21页
vision_survey.pdf 第21页</x:v>
      </x:c>
    </x:row>
    <x:row r="258" ht="95" customHeight="1">
      <x:c r="A258" s="2" t="str">
        <x:v>混合+重排序</x:v>
      </x:c>
      <x:c r="B258" s="2" t="str">
        <x:v>cnn_survey-08-zh</x:v>
      </x:c>
      <x:c r="C258" s="2" t="str">
        <x:v>zh-&gt;zh</x:v>
      </x:c>
      <x:c r="D258" s="2" t="str">
        <x:v>cnn_survey</x:v>
      </x:c>
      <x:c r="E258" s="19" t="str">
        <x:v>周飞燕等的CNN综述中，SWWAE的what和where变量分别是什么？</x:v>
      </x:c>
      <x:c r="F258" s="7" t="n">
        <x:v>1</x:v>
      </x:c>
      <x:c r="G258" s="7" t="n">
        <x:v>1</x:v>
      </x:c>
      <x:c r="H258" s="7" t="n">
        <x:v>1</x:v>
      </x:c>
      <x:c r="I258" s="20" t="n">
        <x:f>IF(H258&gt;0,1,0)</x:f>
        <x:v>1</x:v>
      </x:c>
      <x:c r="J258" s="8" t="n">
        <x:f>H258/F258</x:f>
        <x:v>1</x:v>
      </x:c>
      <x:c r="K258" s="9" t="n">
        <x:f>IF(G258="",0,1/G258)</x:f>
        <x:v>1</x:v>
      </x:c>
      <x:c r="L258" s="10" t="n">
        <x:v>1548.8417919987114</x:v>
      </x:c>
      <x:c r="M258" s="10" t="n">
        <x:v>1533.5023750012624</x:v>
      </x:c>
      <x:c r="N258" s="10" t="n">
        <x:v>1543.7817919992085</x:v>
      </x:c>
      <x:c r="O258" s="10" t="n">
        <x:f>AVERAGE(L258:N258)</x:f>
        <x:v>1542.0419863330608</x:v>
      </x:c>
      <x:c r="P258" s="19" t="str">
        <x:v>e9a22901773e
5cef218475fb
62b0af7539bf
6e11ec046b73
643311f2d6d5</x:v>
      </x:c>
      <x:c r="Q258" s="19" t="str">
        <x:v>cnn_survey.pdf 第9页
cnn_survey.pdf 第9页
cnn_survey.pdf 第11页
cnn_survey.pdf 第7页
cnn_survey.pdf 第5页</x:v>
      </x:c>
    </x:row>
    <x:row r="259" ht="95" customHeight="1">
      <x:c r="A259" s="2" t="str">
        <x:v>混合+重排序</x:v>
      </x:c>
      <x:c r="B259" s="2" t="str">
        <x:v>cnn_survey-08-en</x:v>
      </x:c>
      <x:c r="C259" s="2" t="str">
        <x:v>en-&gt;zh</x:v>
      </x:c>
      <x:c r="D259" s="2" t="str">
        <x:v>cnn_survey</x:v>
      </x:c>
      <x:c r="E259" s="19" t="str">
        <x:v>In Zhou et al. CNN survey, what do the what and where variables in SWWAE represent?</x:v>
      </x:c>
      <x:c r="F259" s="7" t="n">
        <x:v>1</x:v>
      </x:c>
      <x:c r="G259" s="7"/>
      <x:c r="H259" s="7" t="n">
        <x:v>0</x:v>
      </x:c>
      <x:c r="I259" s="20" t="n">
        <x:f>IF(H259&gt;0,1,0)</x:f>
        <x:v>0</x:v>
      </x:c>
      <x:c r="J259" s="8" t="n">
        <x:f>H259/F259</x:f>
        <x:v>0</x:v>
      </x:c>
      <x:c r="K259" s="9" t="n">
        <x:f>IF(G259="",0,1/G259)</x:f>
        <x:v>0</x:v>
      </x:c>
      <x:c r="L259" s="10" t="n">
        <x:v>1197.5050410001131</x:v>
      </x:c>
      <x:c r="M259" s="10" t="n">
        <x:v>1181.7251249995024</x:v>
      </x:c>
      <x:c r="N259" s="10" t="n">
        <x:v>1190.6887500008452</x:v>
      </x:c>
      <x:c r="O259" s="10" t="n">
        <x:f>AVERAGE(L259:N259)</x:f>
        <x:v>1189.9729720001535</x:v>
      </x:c>
      <x:c r="P259" s="19" t="str">
        <x:v>5cef218475fb
a14727952238
f6fa6b8498cb
ecc9b344943d
64ee4d70ad73</x:v>
      </x:c>
      <x:c r="Q259" s="19" t="str">
        <x:v>cnn_survey.pdf 第9页
vision_survey.pdf 第21页
vit.pdf 第2页
vit.pdf 第5页
bert.pdf 第6页</x:v>
      </x:c>
    </x:row>
    <x:row r="260" ht="95" customHeight="1">
      <x:c r="A260" s="2" t="str">
        <x:v>混合+重排序</x:v>
      </x:c>
      <x:c r="B260" s="2" t="str">
        <x:v>compression-01-zh</x:v>
      </x:c>
      <x:c r="C260" s="2" t="str">
        <x:v>zh-&gt;zh</x:v>
      </x:c>
      <x:c r="D260" s="2" t="str">
        <x:v>compression</x:v>
      </x:c>
      <x:c r="E260" s="19" t="str">
        <x:v>雷杰等的模型压缩综述中，为什么删除Filter等同于删除Feature Map？</x:v>
      </x:c>
      <x:c r="F260" s="7" t="n">
        <x:v>2</x:v>
      </x:c>
      <x:c r="G260" s="7" t="n">
        <x:v>1</x:v>
      </x:c>
      <x:c r="H260" s="7" t="n">
        <x:v>1</x:v>
      </x:c>
      <x:c r="I260" s="20" t="n">
        <x:f>IF(H260&gt;0,1,0)</x:f>
        <x:v>1</x:v>
      </x:c>
      <x:c r="J260" s="8" t="n">
        <x:f>H260/F260</x:f>
        <x:v>0.5</x:v>
      </x:c>
      <x:c r="K260" s="9" t="n">
        <x:f>IF(G260="",0,1/G260)</x:f>
        <x:v>1</x:v>
      </x:c>
      <x:c r="L260" s="10" t="n">
        <x:v>1538.86274999968</x:v>
      </x:c>
      <x:c r="M260" s="10" t="n">
        <x:v>1547.2729170032835</x:v>
      </x:c>
      <x:c r="N260" s="10" t="n">
        <x:v>1527.7285830015899</x:v>
      </x:c>
      <x:c r="O260" s="10" t="n">
        <x:f>AVERAGE(L260:N260)</x:f>
        <x:v>1537.9547500015178</x:v>
      </x:c>
      <x:c r="P260" s="19" t="str">
        <x:v>5b79a0dea268
296727bcd89a
91a31a82d1cc
ff40e38329b9
02c45b6c8590</x:v>
      </x:c>
      <x:c r="Q260" s="19" t="str">
        <x:v>compression.pdf 第5页
compression.pdf 第1页
compression.pdf 第7页
compression.pdf 第9页
compression.pdf 第3页</x:v>
      </x:c>
    </x:row>
    <x:row r="261" ht="95" customHeight="1">
      <x:c r="A261" s="2" t="str">
        <x:v>混合+重排序</x:v>
      </x:c>
      <x:c r="B261" s="2" t="str">
        <x:v>compression-01-en</x:v>
      </x:c>
      <x:c r="C261" s="2" t="str">
        <x:v>en-&gt;zh</x:v>
      </x:c>
      <x:c r="D261" s="2" t="str">
        <x:v>compression</x:v>
      </x:c>
      <x:c r="E261" s="19" t="str">
        <x:v>According to Lei et al. model compression survey, why is removing a filter equivalent to removing a feature map?</x:v>
      </x:c>
      <x:c r="F261" s="7" t="n">
        <x:v>2</x:v>
      </x:c>
      <x:c r="G261" s="7" t="n">
        <x:v>2</x:v>
      </x:c>
      <x:c r="H261" s="7" t="n">
        <x:v>1</x:v>
      </x:c>
      <x:c r="I261" s="20" t="n">
        <x:f>IF(H261&gt;0,1,0)</x:f>
        <x:v>1</x:v>
      </x:c>
      <x:c r="J261" s="8" t="n">
        <x:f>H261/F261</x:f>
        <x:v>0.5</x:v>
      </x:c>
      <x:c r="K261" s="9" t="n">
        <x:f>IF(G261="",0,1/G261)</x:f>
        <x:v>0.5</x:v>
      </x:c>
      <x:c r="L261" s="10" t="n">
        <x:v>1076.3383330013312</x:v>
      </x:c>
      <x:c r="M261" s="10" t="n">
        <x:v>1063.6056249968533</x:v>
      </x:c>
      <x:c r="N261" s="10" t="n">
        <x:v>1064.4806669988611</x:v>
      </x:c>
      <x:c r="O261" s="10" t="n">
        <x:f>AVERAGE(L261:N261)</x:f>
        <x:v>1068.1415416656819</x:v>
      </x:c>
      <x:c r="P261" s="19" t="str">
        <x:v>6b2681105939
432ae2b41f61
bc46516c6e0b
963c8fcf1c8d
a7ae255f3607</x:v>
      </x:c>
      <x:c r="Q261" s="19" t="str">
        <x:v>compression.pdf 第5页
compression.pdf 第2页
vit.pdf 第2页
compression.pdf 第1页
vit.pdf 第4页</x:v>
      </x:c>
    </x:row>
    <x:row r="262" ht="95" customHeight="1">
      <x:c r="A262" s="2" t="str">
        <x:v>混合+重排序</x:v>
      </x:c>
      <x:c r="B262" s="2" t="str">
        <x:v>compression-02-zh</x:v>
      </x:c>
      <x:c r="C262" s="2" t="str">
        <x:v>zh-&gt;zh</x:v>
      </x:c>
      <x:c r="D262" s="2" t="str">
        <x:v>compression</x:v>
      </x:c>
      <x:c r="E262" s="19" t="str">
        <x:v>雷杰等的模型压缩综述中，OBD用哪一阶导数估计权重重要性？</x:v>
      </x:c>
      <x:c r="F262" s="7" t="n">
        <x:v>1</x:v>
      </x:c>
      <x:c r="G262" s="7" t="n">
        <x:v>1</x:v>
      </x:c>
      <x:c r="H262" s="7" t="n">
        <x:v>1</x:v>
      </x:c>
      <x:c r="I262" s="20" t="n">
        <x:f>IF(H262&gt;0,1,0)</x:f>
        <x:v>1</x:v>
      </x:c>
      <x:c r="J262" s="8" t="n">
        <x:f>H262/F262</x:f>
        <x:v>1</x:v>
      </x:c>
      <x:c r="K262" s="9" t="n">
        <x:f>IF(G262="",0,1/G262)</x:f>
        <x:v>1</x:v>
      </x:c>
      <x:c r="L262" s="10" t="n">
        <x:v>2279.1042499993637</x:v>
      </x:c>
      <x:c r="M262" s="10" t="n">
        <x:v>1906.5023330003896</x:v>
      </x:c>
      <x:c r="N262" s="10" t="n">
        <x:v>1920.4386669989617</x:v>
      </x:c>
      <x:c r="O262" s="10" t="n">
        <x:f>AVERAGE(L262:N262)</x:f>
        <x:v>2035.3484166662383</x:v>
      </x:c>
      <x:c r="P262" s="19" t="str">
        <x:v>02c45b6c8590
41ffe96cfb4c
5b79a0dea268
91a31a82d1cc
cb5f93361f59</x:v>
      </x:c>
      <x:c r="Q262" s="19" t="str">
        <x:v>compression.pdf 第3页
compression.pdf 第13页
compression.pdf 第5页
compression.pdf 第7页
compression.pdf 第11页</x:v>
      </x:c>
    </x:row>
    <x:row r="263" ht="95" customHeight="1">
      <x:c r="A263" s="2" t="str">
        <x:v>混合+重排序</x:v>
      </x:c>
      <x:c r="B263" s="2" t="str">
        <x:v>compression-02-en</x:v>
      </x:c>
      <x:c r="C263" s="2" t="str">
        <x:v>en-&gt;zh</x:v>
      </x:c>
      <x:c r="D263" s="2" t="str">
        <x:v>compression</x:v>
      </x:c>
      <x:c r="E263" s="19" t="str">
        <x:v>In Lei et al. model compression survey, which derivative order does OBD use to estimate weight importance?</x:v>
      </x:c>
      <x:c r="F263" s="7" t="n">
        <x:v>1</x:v>
      </x:c>
      <x:c r="G263" s="7"/>
      <x:c r="H263" s="7" t="n">
        <x:v>0</x:v>
      </x:c>
      <x:c r="I263" s="20" t="n">
        <x:f>IF(H263&gt;0,1,0)</x:f>
        <x:v>0</x:v>
      </x:c>
      <x:c r="J263" s="8" t="n">
        <x:f>H263/F263</x:f>
        <x:v>0</x:v>
      </x:c>
      <x:c r="K263" s="9" t="n">
        <x:f>IF(G263="",0,1/G263)</x:f>
        <x:v>0</x:v>
      </x:c>
      <x:c r="L263" s="10" t="n">
        <x:v>711.7433339990384</x:v>
      </x:c>
      <x:c r="M263" s="10" t="n">
        <x:v>707.9862499995215</x:v>
      </x:c>
      <x:c r="N263" s="10" t="n">
        <x:v>718.081709001126</x:v>
      </x:c>
      <x:c r="O263" s="10" t="n">
        <x:f>AVERAGE(L263:N263)</x:f>
        <x:v>712.6037643332287</x:v>
      </x:c>
      <x:c r="P263" s="19" t="str">
        <x:v>b67093746da1
963c8fcf1c8d
59af7fb23b17
843a208dcf9f
a7fd9c35104b</x:v>
      </x:c>
      <x:c r="Q263" s="19" t="str">
        <x:v>compression.pdf 第15页
compression.pdf 第1页
bert.pdf 第3页
vit.pdf 第2页
attention.pdf 第5页</x:v>
      </x:c>
    </x:row>
    <x:row r="264" ht="95" customHeight="1">
      <x:c r="A264" s="2" t="str">
        <x:v>混合+重排序</x:v>
      </x:c>
      <x:c r="B264" s="2" t="str">
        <x:v>compression-03-zh</x:v>
      </x:c>
      <x:c r="C264" s="2" t="str">
        <x:v>zh-&gt;zh</x:v>
      </x:c>
      <x:c r="D264" s="2" t="str">
        <x:v>compression</x:v>
      </x:c>
      <x:c r="E264" s="19" t="str">
        <x:v>雷杰等的模型压缩综述中，非结构化剪枝为什么难以直接并行加速？</x:v>
      </x:c>
      <x:c r="F264" s="7" t="n">
        <x:v>1</x:v>
      </x:c>
      <x:c r="G264" s="7" t="n">
        <x:v>1</x:v>
      </x:c>
      <x:c r="H264" s="7" t="n">
        <x:v>1</x:v>
      </x:c>
      <x:c r="I264" s="20" t="n">
        <x:f>IF(H264&gt;0,1,0)</x:f>
        <x:v>1</x:v>
      </x:c>
      <x:c r="J264" s="8" t="n">
        <x:f>H264/F264</x:f>
        <x:v>1</x:v>
      </x:c>
      <x:c r="K264" s="9" t="n">
        <x:f>IF(G264="",0,1/G264)</x:f>
        <x:v>1</x:v>
      </x:c>
      <x:c r="L264" s="10" t="n">
        <x:v>1927.4524159991415</x:v>
      </x:c>
      <x:c r="M264" s="10" t="n">
        <x:v>1908.132000000478</x:v>
      </x:c>
      <x:c r="N264" s="10" t="n">
        <x:v>1900.8093330012343</x:v>
      </x:c>
      <x:c r="O264" s="10" t="n">
        <x:f>AVERAGE(L264:N264)</x:f>
        <x:v>1912.1312496669514</x:v>
      </x:c>
      <x:c r="P264" s="19" t="str">
        <x:v>fc294e7efc80
5b79a0dea268
02c45b6c8590
296727bcd89a
cb5f93361f59</x:v>
      </x:c>
      <x:c r="Q264" s="19" t="str">
        <x:v>compression.pdf 第4页
compression.pdf 第5页
compression.pdf 第3页
compression.pdf 第1页
compression.pdf 第11页</x:v>
      </x:c>
    </x:row>
    <x:row r="265" ht="95" customHeight="1">
      <x:c r="A265" s="2" t="str">
        <x:v>混合+重排序</x:v>
      </x:c>
      <x:c r="B265" s="2" t="str">
        <x:v>compression-03-en</x:v>
      </x:c>
      <x:c r="C265" s="2" t="str">
        <x:v>en-&gt;zh</x:v>
      </x:c>
      <x:c r="D265" s="2" t="str">
        <x:v>compression</x:v>
      </x:c>
      <x:c r="E265" s="19" t="str">
        <x:v>Why is unstructured pruning difficult to accelerate in parallel according to Lei et al. model compression survey?</x:v>
      </x:c>
      <x:c r="F265" s="7" t="n">
        <x:v>1</x:v>
      </x:c>
      <x:c r="G265" s="7"/>
      <x:c r="H265" s="7" t="n">
        <x:v>0</x:v>
      </x:c>
      <x:c r="I265" s="20" t="n">
        <x:f>IF(H265&gt;0,1,0)</x:f>
        <x:v>0</x:v>
      </x:c>
      <x:c r="J265" s="8" t="n">
        <x:f>H265/F265</x:f>
        <x:v>0</x:v>
      </x:c>
      <x:c r="K265" s="9" t="n">
        <x:f>IF(G265="",0,1/G265)</x:f>
        <x:v>0</x:v>
      </x:c>
      <x:c r="L265" s="10" t="n">
        <x:v>784.3147089988634</x:v>
      </x:c>
      <x:c r="M265" s="10" t="n">
        <x:v>787.1588750022056</x:v>
      </x:c>
      <x:c r="N265" s="10" t="n">
        <x:v>784.0230000001611</x:v>
      </x:c>
      <x:c r="O265" s="10" t="n">
        <x:f>AVERAGE(L265:N265)</x:f>
        <x:v>785.1655280004101</x:v>
      </x:c>
      <x:c r="P265" s="19" t="str">
        <x:v>963c8fcf1c8d
b67093746da1
2503bfe50ce3
843a208dcf9f
d1344842381d</x:v>
      </x:c>
      <x:c r="Q265" s="19" t="str">
        <x:v>compression.pdf 第1页
compression.pdf 第15页
compression.pdf 第1页
vit.pdf 第2页
vit.pdf 第14页</x:v>
      </x:c>
    </x:row>
    <x:row r="266" ht="95" customHeight="1">
      <x:c r="A266" s="2" t="str">
        <x:v>混合+重排序</x:v>
      </x:c>
      <x:c r="B266" s="2" t="str">
        <x:v>compression-04-zh</x:v>
      </x:c>
      <x:c r="C266" s="2" t="str">
        <x:v>zh-&gt;zh</x:v>
      </x:c>
      <x:c r="D266" s="2" t="str">
        <x:v>compression</x:v>
      </x:c>
      <x:c r="E266" s="19" t="str">
        <x:v>雷杰等的模型压缩综述中，通道与卷积核粗粒度剪枝有什么部署优势？</x:v>
      </x:c>
      <x:c r="F266" s="7" t="n">
        <x:v>1</x:v>
      </x:c>
      <x:c r="G266" s="7" t="n">
        <x:v>1</x:v>
      </x:c>
      <x:c r="H266" s="7" t="n">
        <x:v>1</x:v>
      </x:c>
      <x:c r="I266" s="20" t="n">
        <x:f>IF(H266&gt;0,1,0)</x:f>
        <x:v>1</x:v>
      </x:c>
      <x:c r="J266" s="8" t="n">
        <x:f>H266/F266</x:f>
        <x:v>1</x:v>
      </x:c>
      <x:c r="K266" s="9" t="n">
        <x:f>IF(G266="",0,1/G266)</x:f>
        <x:v>1</x:v>
      </x:c>
      <x:c r="L266" s="10" t="n">
        <x:v>1840.9873339987826</x:v>
      </x:c>
      <x:c r="M266" s="10" t="n">
        <x:v>1819.2832919994544</x:v>
      </x:c>
      <x:c r="N266" s="10" t="n">
        <x:v>1806.846792002034</x:v>
      </x:c>
      <x:c r="O266" s="10" t="n">
        <x:f>AVERAGE(L266:N266)</x:f>
        <x:v>1822.372472666757</x:v>
      </x:c>
      <x:c r="P266" s="19" t="str">
        <x:v>5b79a0dea268
fc294e7efc80
02c45b6c8590
432ae2b41f61
cb5f93361f59</x:v>
      </x:c>
      <x:c r="Q266" s="19" t="str">
        <x:v>compression.pdf 第5页
compression.pdf 第4页
compression.pdf 第3页
compression.pdf 第2页
compression.pdf 第11页</x:v>
      </x:c>
    </x:row>
    <x:row r="267" ht="95" customHeight="1">
      <x:c r="A267" s="2" t="str">
        <x:v>混合+重排序</x:v>
      </x:c>
      <x:c r="B267" s="2" t="str">
        <x:v>compression-04-en</x:v>
      </x:c>
      <x:c r="C267" s="2" t="str">
        <x:v>en-&gt;zh</x:v>
      </x:c>
      <x:c r="D267" s="2" t="str">
        <x:v>compression</x:v>
      </x:c>
      <x:c r="E267" s="19" t="str">
        <x:v>What deployment advantage does coarse-grained channel and kernel pruning offer in Lei et al. model compression survey?</x:v>
      </x:c>
      <x:c r="F267" s="7" t="n">
        <x:v>1</x:v>
      </x:c>
      <x:c r="G267" s="7"/>
      <x:c r="H267" s="7" t="n">
        <x:v>0</x:v>
      </x:c>
      <x:c r="I267" s="20" t="n">
        <x:f>IF(H267&gt;0,1,0)</x:f>
        <x:v>0</x:v>
      </x:c>
      <x:c r="J267" s="8" t="n">
        <x:f>H267/F267</x:f>
        <x:v>0</x:v>
      </x:c>
      <x:c r="K267" s="9" t="n">
        <x:f>IF(G267="",0,1/G267)</x:f>
        <x:v>0</x:v>
      </x:c>
      <x:c r="L267" s="10" t="n">
        <x:v>742.2043330007</x:v>
      </x:c>
      <x:c r="M267" s="10" t="n">
        <x:v>729.7352080022392</x:v>
      </x:c>
      <x:c r="N267" s="10" t="n">
        <x:v>746.9653330008441</x:v>
      </x:c>
      <x:c r="O267" s="10" t="n">
        <x:f>AVERAGE(L267:N267)</x:f>
        <x:v>739.6349580012611</x:v>
      </x:c>
      <x:c r="P267" s="19" t="str">
        <x:v>2503bfe50ce3
0e2e9d7c4882
963c8fcf1c8d
b67093746da1
1a2762897aa2</x:v>
      </x:c>
      <x:c r="Q267" s="19" t="str">
        <x:v>compression.pdf 第1页
cnn_survey.pdf 第19页
compression.pdf 第1页
compression.pdf 第15页
compression.pdf 第15页</x:v>
      </x:c>
    </x:row>
    <x:row r="268" ht="95" customHeight="1">
      <x:c r="A268" s="2" t="str">
        <x:v>混合+重排序</x:v>
      </x:c>
      <x:c r="B268" s="2" t="str">
        <x:v>compression-05-zh</x:v>
      </x:c>
      <x:c r="C268" s="2" t="str">
        <x:v>zh-&gt;zh</x:v>
      </x:c>
      <x:c r="D268" s="2" t="str">
        <x:v>compression</x:v>
      </x:c>
      <x:c r="E268" s="19" t="str">
        <x:v>雷杰等的模型压缩综述怎样用教师模型指导学生模型？</x:v>
      </x:c>
      <x:c r="F268" s="7" t="n">
        <x:v>2</x:v>
      </x:c>
      <x:c r="G268" s="7"/>
      <x:c r="H268" s="7" t="n">
        <x:v>0</x:v>
      </x:c>
      <x:c r="I268" s="20" t="n">
        <x:f>IF(H268&gt;0,1,0)</x:f>
        <x:v>0</x:v>
      </x:c>
      <x:c r="J268" s="8" t="n">
        <x:f>H268/F268</x:f>
        <x:v>0</x:v>
      </x:c>
      <x:c r="K268" s="9" t="n">
        <x:f>IF(G268="",0,1/G268)</x:f>
        <x:v>0</x:v>
      </x:c>
      <x:c r="L268" s="10" t="n">
        <x:v>1425.6393750001735</x:v>
      </x:c>
      <x:c r="M268" s="10" t="n">
        <x:v>1414.282749999984</x:v>
      </x:c>
      <x:c r="N268" s="10" t="n">
        <x:v>1412.111666999408</x:v>
      </x:c>
      <x:c r="O268" s="10" t="n">
        <x:f>AVERAGE(L268:N268)</x:f>
        <x:v>1417.3445973331884</x:v>
      </x:c>
      <x:c r="P268" s="19" t="str">
        <x:v>91a31a82d1cc
24205e65477f
185b4a6d6dc1
5b79a0dea268
02c45b6c8590</x:v>
      </x:c>
      <x:c r="Q268" s="19" t="str">
        <x:v>compression.pdf 第7页
compression.pdf 第6页
compression.pdf 第7页
compression.pdf 第5页
compression.pdf 第3页</x:v>
      </x:c>
    </x:row>
    <x:row r="269" ht="95" customHeight="1">
      <x:c r="A269" s="2" t="str">
        <x:v>混合+重排序</x:v>
      </x:c>
      <x:c r="B269" s="2" t="str">
        <x:v>compression-05-en</x:v>
      </x:c>
      <x:c r="C269" s="2" t="str">
        <x:v>en-&gt;zh</x:v>
      </x:c>
      <x:c r="D269" s="2" t="str">
        <x:v>compression</x:v>
      </x:c>
      <x:c r="E269" s="19" t="str">
        <x:v>How does Lei et al. model compression survey describe a teacher model guiding a student model?</x:v>
      </x:c>
      <x:c r="F269" s="7" t="n">
        <x:v>2</x:v>
      </x:c>
      <x:c r="G269" s="7"/>
      <x:c r="H269" s="7" t="n">
        <x:v>0</x:v>
      </x:c>
      <x:c r="I269" s="20" t="n">
        <x:f>IF(H269&gt;0,1,0)</x:f>
        <x:v>0</x:v>
      </x:c>
      <x:c r="J269" s="8" t="n">
        <x:f>H269/F269</x:f>
        <x:v>0</x:v>
      </x:c>
      <x:c r="K269" s="9" t="n">
        <x:f>IF(G269="",0,1/G269)</x:f>
        <x:v>0</x:v>
      </x:c>
      <x:c r="L269" s="10" t="n">
        <x:v>1250.0877910024428</x:v>
      </x:c>
      <x:c r="M269" s="10" t="n">
        <x:v>1226.0735829986515</x:v>
      </x:c>
      <x:c r="N269" s="10" t="n">
        <x:v>1273.4366250006133</x:v>
      </x:c>
      <x:c r="O269" s="10" t="n">
        <x:f>AVERAGE(L269:N269)</x:f>
        <x:v>1249.8659996672359</x:v>
      </x:c>
      <x:c r="P269" s="19" t="str">
        <x:v>24205e65477f
296727bcd89a
185b4a6d6dc1
91a31a82d1cc
64c53c006c94</x:v>
      </x:c>
      <x:c r="Q269" s="19" t="str">
        <x:v>compression.pdf 第6页
compression.pdf 第1页
compression.pdf 第7页
compression.pdf 第7页
compression.pdf 第8页</x:v>
      </x:c>
    </x:row>
    <x:row r="270" ht="95" customHeight="1">
      <x:c r="A270" s="2" t="str">
        <x:v>混合+重排序</x:v>
      </x:c>
      <x:c r="B270" s="2" t="str">
        <x:v>compression-06-zh</x:v>
      </x:c>
      <x:c r="C270" s="2" t="str">
        <x:v>zh-&gt;zh</x:v>
      </x:c>
      <x:c r="D270" s="2" t="str">
        <x:v>compression</x:v>
      </x:c>
      <x:c r="E270" s="19" t="str">
        <x:v>雷杰等的模型压缩综述中，FitNet如何处理教师与学生中间层维度不同？</x:v>
      </x:c>
      <x:c r="F270" s="7" t="n">
        <x:v>1</x:v>
      </x:c>
      <x:c r="G270" s="7" t="n">
        <x:v>2</x:v>
      </x:c>
      <x:c r="H270" s="7" t="n">
        <x:v>1</x:v>
      </x:c>
      <x:c r="I270" s="20" t="n">
        <x:f>IF(H270&gt;0,1,0)</x:f>
        <x:v>1</x:v>
      </x:c>
      <x:c r="J270" s="8" t="n">
        <x:f>H270/F270</x:f>
        <x:v>1</x:v>
      </x:c>
      <x:c r="K270" s="9" t="n">
        <x:f>IF(G270="",0,1/G270)</x:f>
        <x:v>0.5</x:v>
      </x:c>
      <x:c r="L270" s="10" t="n">
        <x:v>1483.7108329993498</x:v>
      </x:c>
      <x:c r="M270" s="10" t="n">
        <x:v>1482.0831249999173</x:v>
      </x:c>
      <x:c r="N270" s="10" t="n">
        <x:v>1469.057165999402</x:v>
      </x:c>
      <x:c r="O270" s="10" t="n">
        <x:f>AVERAGE(L270:N270)</x:f>
        <x:v>1478.2837079995563</x:v>
      </x:c>
      <x:c r="P270" s="19" t="str">
        <x:v>91a31a82d1cc
992536c010bc
5b79a0dea268
02c45b6c8590
296727bcd89a</x:v>
      </x:c>
      <x:c r="Q270" s="19" t="str">
        <x:v>compression.pdf 第7页
compression.pdf 第7页
compression.pdf 第5页
compression.pdf 第3页
compression.pdf 第1页</x:v>
      </x:c>
    </x:row>
    <x:row r="271" ht="95" customHeight="1">
      <x:c r="A271" s="2" t="str">
        <x:v>混合+重排序</x:v>
      </x:c>
      <x:c r="B271" s="2" t="str">
        <x:v>compression-06-en</x:v>
      </x:c>
      <x:c r="C271" s="2" t="str">
        <x:v>en-&gt;zh</x:v>
      </x:c>
      <x:c r="D271" s="2" t="str">
        <x:v>compression</x:v>
      </x:c>
      <x:c r="E271" s="19" t="str">
        <x:v>How does FitNet handle different teacher and student intermediate dimensions in Lei et al. model compression survey?</x:v>
      </x:c>
      <x:c r="F271" s="7" t="n">
        <x:v>1</x:v>
      </x:c>
      <x:c r="G271" s="7" t="n">
        <x:v>1</x:v>
      </x:c>
      <x:c r="H271" s="7" t="n">
        <x:v>1</x:v>
      </x:c>
      <x:c r="I271" s="20" t="n">
        <x:f>IF(H271&gt;0,1,0)</x:f>
        <x:v>1</x:v>
      </x:c>
      <x:c r="J271" s="8" t="n">
        <x:f>H271/F271</x:f>
        <x:v>1</x:v>
      </x:c>
      <x:c r="K271" s="9" t="n">
        <x:f>IF(G271="",0,1/G271)</x:f>
        <x:v>1</x:v>
      </x:c>
      <x:c r="L271" s="10" t="n">
        <x:v>1188.5989580005116</x:v>
      </x:c>
      <x:c r="M271" s="10" t="n">
        <x:v>1183.4020409987716</x:v>
      </x:c>
      <x:c r="N271" s="10" t="n">
        <x:v>1168.6486670005252</x:v>
      </x:c>
      <x:c r="O271" s="10" t="n">
        <x:f>AVERAGE(L271:N271)</x:f>
        <x:v>1180.2165553332695</x:v>
      </x:c>
      <x:c r="P271" s="19" t="str">
        <x:v>992536c010bc
91a31a82d1cc
6d5ad303ca39
185b4a6d6dc1
b67093746da1</x:v>
      </x:c>
      <x:c r="Q271" s="19" t="str">
        <x:v>compression.pdf 第7页
compression.pdf 第7页
compression.pdf 第14页
compression.pdf 第7页
compression.pdf 第15页</x:v>
      </x:c>
    </x:row>
    <x:row r="272" ht="95" customHeight="1">
      <x:c r="A272" s="2" t="str">
        <x:v>混合+重排序</x:v>
      </x:c>
      <x:c r="B272" s="2" t="str">
        <x:v>compression-07-zh</x:v>
      </x:c>
      <x:c r="C272" s="2" t="str">
        <x:v>zh-&gt;zh</x:v>
      </x:c>
      <x:c r="D272" s="2" t="str">
        <x:v>compression</x:v>
      </x:c>
      <x:c r="E272" s="19" t="str">
        <x:v>雷杰等的模型压缩综述将哪种矩阵分解推广到卷积核低秩表示？</x:v>
      </x:c>
      <x:c r="F272" s="7" t="n">
        <x:v>1</x:v>
      </x:c>
      <x:c r="G272" s="7" t="n">
        <x:v>2</x:v>
      </x:c>
      <x:c r="H272" s="7" t="n">
        <x:v>1</x:v>
      </x:c>
      <x:c r="I272" s="20" t="n">
        <x:f>IF(H272&gt;0,1,0)</x:f>
        <x:v>1</x:v>
      </x:c>
      <x:c r="J272" s="8" t="n">
        <x:f>H272/F272</x:f>
        <x:v>1</x:v>
      </x:c>
      <x:c r="K272" s="9" t="n">
        <x:f>IF(G272="",0,1/G272)</x:f>
        <x:v>0.5</x:v>
      </x:c>
      <x:c r="L272" s="10" t="n">
        <x:v>1828.2300410028256</x:v>
      </x:c>
      <x:c r="M272" s="10" t="n">
        <x:v>1755.9360419982113</x:v>
      </x:c>
      <x:c r="N272" s="10" t="n">
        <x:v>1743.2643749998533</x:v>
      </x:c>
      <x:c r="O272" s="10" t="n">
        <x:f>AVERAGE(L272:N272)</x:f>
        <x:v>1775.8101526669634</x:v>
      </x:c>
      <x:c r="P272" s="19" t="str">
        <x:v>ff40e38329b9
1e4f7f7596ce
5b79a0dea268
eb1d3a2e228a
9ba28ace2d13</x:v>
      </x:c>
      <x:c r="Q272" s="19" t="str">
        <x:v>compression.pdf 第9页
compression.pdf 第8页
compression.pdf 第5页
compression.pdf 第8页
vision_survey.pdf 第5页</x:v>
      </x:c>
    </x:row>
    <x:row r="273" ht="95" customHeight="1">
      <x:c r="A273" s="2" t="str">
        <x:v>混合+重排序</x:v>
      </x:c>
      <x:c r="B273" s="2" t="str">
        <x:v>compression-07-en</x:v>
      </x:c>
      <x:c r="C273" s="2" t="str">
        <x:v>en-&gt;zh</x:v>
      </x:c>
      <x:c r="D273" s="2" t="str">
        <x:v>compression</x:v>
      </x:c>
      <x:c r="E273" s="19" t="str">
        <x:v>Which matrix decomposition is extended to low-rank convolution kernels in Lei et al. model compression survey?</x:v>
      </x:c>
      <x:c r="F273" s="7" t="n">
        <x:v>1</x:v>
      </x:c>
      <x:c r="G273" s="7"/>
      <x:c r="H273" s="7" t="n">
        <x:v>0</x:v>
      </x:c>
      <x:c r="I273" s="20" t="n">
        <x:f>IF(H273&gt;0,1,0)</x:f>
        <x:v>0</x:v>
      </x:c>
      <x:c r="J273" s="8" t="n">
        <x:f>H273/F273</x:f>
        <x:v>0</x:v>
      </x:c>
      <x:c r="K273" s="9" t="n">
        <x:f>IF(G273="",0,1/G273)</x:f>
        <x:v>0</x:v>
      </x:c>
      <x:c r="L273" s="10" t="n">
        <x:v>1161.8175000003248</x:v>
      </x:c>
      <x:c r="M273" s="10" t="n">
        <x:v>1152.2072500010836</x:v>
      </x:c>
      <x:c r="N273" s="10" t="n">
        <x:v>1153.3646250027232</x:v>
      </x:c>
      <x:c r="O273" s="10" t="n">
        <x:f>AVERAGE(L273:N273)</x:f>
        <x:v>1155.7964583347105</x:v>
      </x:c>
      <x:c r="P273" s="19" t="str">
        <x:v>ff40e38329b9
b67093746da1
963c8fcf1c8d
eb1d3a2e228a
843a208dcf9f</x:v>
      </x:c>
      <x:c r="Q273" s="19" t="str">
        <x:v>compression.pdf 第9页
compression.pdf 第15页
compression.pdf 第1页
compression.pdf 第8页
vit.pdf 第2页</x:v>
      </x:c>
    </x:row>
    <x:row r="274" ht="95" customHeight="1">
      <x:c r="A274" s="2" t="str">
        <x:v>混合+重排序</x:v>
      </x:c>
      <x:c r="B274" s="2" t="str">
        <x:v>compression-08-zh</x:v>
      </x:c>
      <x:c r="C274" s="2" t="str">
        <x:v>zh-&gt;zh</x:v>
      </x:c>
      <x:c r="D274" s="2" t="str">
        <x:v>compression</x:v>
      </x:c>
      <x:c r="E274" s="19" t="str">
        <x:v>雷杰等的模型压缩综述中，二值权重有哪些取值，SGD更新是否也二值化？</x:v>
      </x:c>
      <x:c r="F274" s="7" t="n">
        <x:v>1</x:v>
      </x:c>
      <x:c r="G274" s="7" t="n">
        <x:v>1</x:v>
      </x:c>
      <x:c r="H274" s="7" t="n">
        <x:v>1</x:v>
      </x:c>
      <x:c r="I274" s="20" t="n">
        <x:f>IF(H274&gt;0,1,0)</x:f>
        <x:v>1</x:v>
      </x:c>
      <x:c r="J274" s="8" t="n">
        <x:f>H274/F274</x:f>
        <x:v>1</x:v>
      </x:c>
      <x:c r="K274" s="9" t="n">
        <x:f>IF(G274="",0,1/G274)</x:f>
        <x:v>1</x:v>
      </x:c>
      <x:c r="L274" s="10" t="n">
        <x:v>1883.0685409993748</x:v>
      </x:c>
      <x:c r="M274" s="10" t="n">
        <x:v>1877.691916000913</x:v>
      </x:c>
      <x:c r="N274" s="10" t="n">
        <x:v>1883.6667499999749</x:v>
      </x:c>
      <x:c r="O274" s="10" t="n">
        <x:f>AVERAGE(L274:N274)</x:f>
        <x:v>1881.4757356667542</x:v>
      </x:c>
      <x:c r="P274" s="19" t="str">
        <x:v>5ef634b107cb
5b79a0dea268
02c45b6c8590
cb5f93361f59
41ffe96cfb4c</x:v>
      </x:c>
      <x:c r="Q274" s="19" t="str">
        <x:v>compression.pdf 第10页
compression.pdf 第5页
compression.pdf 第3页
compression.pdf 第11页
compression.pdf 第13页</x:v>
      </x:c>
    </x:row>
    <x:row r="275" ht="95" customHeight="1">
      <x:c r="A275" s="2" t="str">
        <x:v>混合+重排序</x:v>
      </x:c>
      <x:c r="B275" s="2" t="str">
        <x:v>compression-08-en</x:v>
      </x:c>
      <x:c r="C275" s="2" t="str">
        <x:v>en-&gt;zh</x:v>
      </x:c>
      <x:c r="D275" s="2" t="str">
        <x:v>compression</x:v>
      </x:c>
      <x:c r="E275" s="19" t="str">
        <x:v>In Lei et al. model compression survey, what values do binary weights take, and are SGD updates also binarized?</x:v>
      </x:c>
      <x:c r="F275" s="7" t="n">
        <x:v>1</x:v>
      </x:c>
      <x:c r="G275" s="7"/>
      <x:c r="H275" s="7" t="n">
        <x:v>0</x:v>
      </x:c>
      <x:c r="I275" s="20" t="n">
        <x:f>IF(H275&gt;0,1,0)</x:f>
        <x:v>0</x:v>
      </x:c>
      <x:c r="J275" s="8" t="n">
        <x:f>H275/F275</x:f>
        <x:v>0</x:v>
      </x:c>
      <x:c r="K275" s="9" t="n">
        <x:f>IF(G275="",0,1/G275)</x:f>
        <x:v>0</x:v>
      </x:c>
      <x:c r="L275" s="10" t="n">
        <x:v>710.139833001449</x:v>
      </x:c>
      <x:c r="M275" s="10" t="n">
        <x:v>700.4164999998466</x:v>
      </x:c>
      <x:c r="N275" s="10" t="n">
        <x:v>709.0640839996922</x:v>
      </x:c>
      <x:c r="O275" s="10" t="n">
        <x:f>AVERAGE(L275:N275)</x:f>
        <x:v>706.5401390003293</x:v>
      </x:c>
      <x:c r="P275" s="19" t="str">
        <x:v>0fb0eae9597c
b67093746da1
35cf30cef3f1
963c8fcf1c8d
e0b1e365d6e2</x:v>
      </x:c>
      <x:c r="Q275" s="19" t="str">
        <x:v>vit.pdf 第5页
compression.pdf 第15页
vit.pdf 第5页
compression.pdf 第1页
vit.pdf 第16页</x:v>
      </x:c>
    </x:row>
    <x:row r="276" ht="95" customHeight="1">
      <x:c r="A276" s="2" t="str">
        <x:v>混合+重排序</x:v>
      </x:c>
      <x:c r="B276" s="2" t="str">
        <x:v>vision_survey-01-zh</x:v>
      </x:c>
      <x:c r="C276" s="2" t="str">
        <x:v>zh-&gt;zh</x:v>
      </x:c>
      <x:c r="D276" s="2" t="str">
        <x:v>vision_survey</x:v>
      </x:c>
      <x:c r="E276" s="19" t="str">
        <x:v>田永林等的视觉Transformer综述中，Transformer和CNN怎样扩展感受野？</x:v>
      </x:c>
      <x:c r="F276" s="7" t="n">
        <x:v>1</x:v>
      </x:c>
      <x:c r="G276" s="7" t="n">
        <x:v>5</x:v>
      </x:c>
      <x:c r="H276" s="7" t="n">
        <x:v>1</x:v>
      </x:c>
      <x:c r="I276" s="20" t="n">
        <x:f>IF(H276&gt;0,1,0)</x:f>
        <x:v>1</x:v>
      </x:c>
      <x:c r="J276" s="8" t="n">
        <x:f>H276/F276</x:f>
        <x:v>1</x:v>
      </x:c>
      <x:c r="K276" s="9" t="n">
        <x:f>IF(G276="",0,1/G276)</x:f>
        <x:v>0.2</x:v>
      </x:c>
      <x:c r="L276" s="10" t="n">
        <x:v>1455.6920420000097</x:v>
      </x:c>
      <x:c r="M276" s="10" t="n">
        <x:v>1443.5734580001736</x:v>
      </x:c>
      <x:c r="N276" s="10" t="n">
        <x:v>1433.4721249979339</x:v>
      </x:c>
      <x:c r="O276" s="10" t="n">
        <x:f>AVERAGE(L276:N276)</x:f>
        <x:v>1444.2458749993723</x:v>
      </x:c>
      <x:c r="P276" s="19" t="str">
        <x:v>688d9d55c79d
670f5ed67a6d
7806d9463e35
e639741a12ee
9ef90375cab8</x:v>
      </x:c>
      <x:c r="Q276" s="19" t="str">
        <x:v>vision_survey.pdf 第17页
vision_survey.pdf 第17页
vision_survey.pdf 第4页
vision_survey.pdf 第2页
vision_survey.pdf 第3页</x:v>
      </x:c>
    </x:row>
    <x:row r="277" ht="95" customHeight="1">
      <x:c r="A277" s="2" t="str">
        <x:v>混合+重排序</x:v>
      </x:c>
      <x:c r="B277" s="2" t="str">
        <x:v>vision_survey-01-en</x:v>
      </x:c>
      <x:c r="C277" s="2" t="str">
        <x:v>en-&gt;zh</x:v>
      </x:c>
      <x:c r="D277" s="2" t="str">
        <x:v>vision_survey</x:v>
      </x:c>
      <x:c r="E277" s="19" t="str">
        <x:v>According to Tian et al. vision Transformer survey, how do Transformers and CNNs expand their receptive fields?</x:v>
      </x:c>
      <x:c r="F277" s="7" t="n">
        <x:v>1</x:v>
      </x:c>
      <x:c r="G277" s="7"/>
      <x:c r="H277" s="7" t="n">
        <x:v>0</x:v>
      </x:c>
      <x:c r="I277" s="20" t="n">
        <x:f>IF(H277&gt;0,1,0)</x:f>
        <x:v>0</x:v>
      </x:c>
      <x:c r="J277" s="8" t="n">
        <x:f>H277/F277</x:f>
        <x:v>0</x:v>
      </x:c>
      <x:c r="K277" s="9" t="n">
        <x:f>IF(G277="",0,1/G277)</x:f>
        <x:v>0</x:v>
      </x:c>
      <x:c r="L277" s="10" t="n">
        <x:v>1272.5799580002786</x:v>
      </x:c>
      <x:c r="M277" s="10" t="n">
        <x:v>1267.455584002164</x:v>
      </x:c>
      <x:c r="N277" s="10" t="n">
        <x:v>1268.466541001544</x:v>
      </x:c>
      <x:c r="O277" s="10" t="n">
        <x:f>AVERAGE(L277:N277)</x:f>
        <x:v>1269.5006943346623</x:v>
      </x:c>
      <x:c r="P277" s="19" t="str">
        <x:v>7806d9463e35
a4762fa16ea8
b2c5ca4a2c2d
430cc231bdbc
153bf2d1ab88</x:v>
      </x:c>
      <x:c r="Q277" s="19" t="str">
        <x:v>vision_survey.pdf 第4页
vit.pdf 第8页
vit.pdf 第2页
vit.pdf 第1页
vision_survey.pdf 第1页</x:v>
      </x:c>
    </x:row>
    <x:row r="278" ht="95" customHeight="1">
      <x:c r="A278" s="2" t="str">
        <x:v>混合+重排序</x:v>
      </x:c>
      <x:c r="B278" s="2" t="str">
        <x:v>vision_survey-02-zh</x:v>
      </x:c>
      <x:c r="C278" s="2" t="str">
        <x:v>zh-&gt;zh</x:v>
      </x:c>
      <x:c r="D278" s="2" t="str">
        <x:v>vision_survey</x:v>
      </x:c>
      <x:c r="E278" s="19" t="str">
        <x:v>田永林等的视觉Transformer综述中，注意力权重与卷积权重的动态性有什么差异？</x:v>
      </x:c>
      <x:c r="F278" s="7" t="n">
        <x:v>1</x:v>
      </x:c>
      <x:c r="G278" s="7" t="n">
        <x:v>2</x:v>
      </x:c>
      <x:c r="H278" s="7" t="n">
        <x:v>1</x:v>
      </x:c>
      <x:c r="I278" s="20" t="n">
        <x:f>IF(H278&gt;0,1,0)</x:f>
        <x:v>1</x:v>
      </x:c>
      <x:c r="J278" s="8" t="n">
        <x:f>H278/F278</x:f>
        <x:v>1</x:v>
      </x:c>
      <x:c r="K278" s="9" t="n">
        <x:f>IF(G278="",0,1/G278)</x:f>
        <x:v>0.5</x:v>
      </x:c>
      <x:c r="L278" s="10" t="n">
        <x:v>1485.0919580021582</x:v>
      </x:c>
      <x:c r="M278" s="10" t="n">
        <x:v>1475.918209001975</x:v>
      </x:c>
      <x:c r="N278" s="10" t="n">
        <x:v>1478.3784579994972</x:v>
      </x:c>
      <x:c r="O278" s="10" t="n">
        <x:f>AVERAGE(L278:N278)</x:f>
        <x:v>1479.7962083345435</x:v>
      </x:c>
      <x:c r="P278" s="19" t="str">
        <x:v>48fde759608a
7806d9463e35
b961d9124883
708d54a64688
9ef90375cab8</x:v>
      </x:c>
      <x:c r="Q278" s="19" t="str">
        <x:v>vision_survey.pdf 第1页
vision_survey.pdf 第4页
vision_survey.pdf 第9页
vision_survey.pdf 第19页
vision_survey.pdf 第3页</x:v>
      </x:c>
    </x:row>
    <x:row r="279" ht="95" customHeight="1">
      <x:c r="A279" s="2" t="str">
        <x:v>混合+重排序</x:v>
      </x:c>
      <x:c r="B279" s="2" t="str">
        <x:v>vision_survey-02-en</x:v>
      </x:c>
      <x:c r="C279" s="2" t="str">
        <x:v>en-&gt;zh</x:v>
      </x:c>
      <x:c r="D279" s="2" t="str">
        <x:v>vision_survey</x:v>
      </x:c>
      <x:c r="E279" s="19" t="str">
        <x:v>How does weight dynamicity differ between attention and convolution in Tian et al. vision Transformer survey?</x:v>
      </x:c>
      <x:c r="F279" s="7" t="n">
        <x:v>1</x:v>
      </x:c>
      <x:c r="G279" s="7"/>
      <x:c r="H279" s="7" t="n">
        <x:v>0</x:v>
      </x:c>
      <x:c r="I279" s="20" t="n">
        <x:f>IF(H279&gt;0,1,0)</x:f>
        <x:v>0</x:v>
      </x:c>
      <x:c r="J279" s="8" t="n">
        <x:f>H279/F279</x:f>
        <x:v>0</x:v>
      </x:c>
      <x:c r="K279" s="9" t="n">
        <x:f>IF(G279="",0,1/G279)</x:f>
        <x:v>0</x:v>
      </x:c>
      <x:c r="L279" s="10" t="n">
        <x:v>823.4996669998509</x:v>
      </x:c>
      <x:c r="M279" s="10" t="n">
        <x:v>810.6020419982087</x:v>
      </x:c>
      <x:c r="N279" s="10" t="n">
        <x:v>809.0922080009477</x:v>
      </x:c>
      <x:c r="O279" s="10" t="n">
        <x:f>AVERAGE(L279:N279)</x:f>
        <x:v>814.3979723330025</x:v>
      </x:c>
      <x:c r="P279" s="19" t="str">
        <x:v>430cc231bdbc
69912204f088
3fa2b491543f
017e75122f3a
23ac563eaa2b</x:v>
      </x:c>
      <x:c r="Q279" s="19" t="str">
        <x:v>vit.pdf 第1页
vit.pdf 第8页
vit.pdf 第1页
vit.pdf 第2页
cnn_survey.pdf 第20页</x:v>
      </x:c>
    </x:row>
    <x:row r="280" ht="95" customHeight="1">
      <x:c r="A280" s="2" t="str">
        <x:v>混合+重排序</x:v>
      </x:c>
      <x:c r="B280" s="2" t="str">
        <x:v>vision_survey-03-zh</x:v>
      </x:c>
      <x:c r="C280" s="2" t="str">
        <x:v>zh-&gt;zh</x:v>
      </x:c>
      <x:c r="D280" s="2" t="str">
        <x:v>vision_survey</x:v>
      </x:c>
      <x:c r="E280" s="19" t="str">
        <x:v>田永林等的视觉Transformer综述指出ViT在计算、数据和训练上有哪些不足？</x:v>
      </x:c>
      <x:c r="F280" s="7" t="n">
        <x:v>1</x:v>
      </x:c>
      <x:c r="G280" s="7"/>
      <x:c r="H280" s="7" t="n">
        <x:v>0</x:v>
      </x:c>
      <x:c r="I280" s="20" t="n">
        <x:f>IF(H280&gt;0,1,0)</x:f>
        <x:v>0</x:v>
      </x:c>
      <x:c r="J280" s="8" t="n">
        <x:f>H280/F280</x:f>
        <x:v>0</x:v>
      </x:c>
      <x:c r="K280" s="9" t="n">
        <x:f>IF(G280="",0,1/G280)</x:f>
        <x:v>0</x:v>
      </x:c>
      <x:c r="L280" s="10" t="n">
        <x:v>1446.49916599883</x:v>
      </x:c>
      <x:c r="M280" s="10" t="n">
        <x:v>1439.9279999997816</x:v>
      </x:c>
      <x:c r="N280" s="10" t="n">
        <x:v>1437.2349579971342</x:v>
      </x:c>
      <x:c r="O280" s="10" t="n">
        <x:f>AVERAGE(L280:N280)</x:f>
        <x:v>1441.220707998582</x:v>
      </x:c>
      <x:c r="P280" s="19" t="str">
        <x:v>df5f4497c074
ac03dc81db60
8ae84e98efc7
48fde759608a
e639741a12ee</x:v>
      </x:c>
      <x:c r="Q280" s="19" t="str">
        <x:v>vision_survey.pdf 第4页
vision_survey.pdf 第2页
vit.pdf 第1页
vision_survey.pdf 第1页
vision_survey.pdf 第2页</x:v>
      </x:c>
    </x:row>
    <x:row r="281" ht="95" customHeight="1">
      <x:c r="A281" s="2" t="str">
        <x:v>混合+重排序</x:v>
      </x:c>
      <x:c r="B281" s="2" t="str">
        <x:v>vision_survey-03-en</x:v>
      </x:c>
      <x:c r="C281" s="2" t="str">
        <x:v>en-&gt;zh</x:v>
      </x:c>
      <x:c r="D281" s="2" t="str">
        <x:v>vision_survey</x:v>
      </x:c>
      <x:c r="E281" s="19" t="str">
        <x:v>What computation, data, and training weaknesses of ViT are identified in Tian et al. vision Transformer survey?</x:v>
      </x:c>
      <x:c r="F281" s="7" t="n">
        <x:v>1</x:v>
      </x:c>
      <x:c r="G281" s="7"/>
      <x:c r="H281" s="7" t="n">
        <x:v>0</x:v>
      </x:c>
      <x:c r="I281" s="20" t="n">
        <x:f>IF(H281&gt;0,1,0)</x:f>
        <x:v>0</x:v>
      </x:c>
      <x:c r="J281" s="8" t="n">
        <x:f>H281/F281</x:f>
        <x:v>0</x:v>
      </x:c>
      <x:c r="K281" s="9" t="n">
        <x:f>IF(G281="",0,1/G281)</x:f>
        <x:v>0</x:v>
      </x:c>
      <x:c r="L281" s="10" t="n">
        <x:v>951.0131250026461</x:v>
      </x:c>
      <x:c r="M281" s="10" t="n">
        <x:v>844.9228339995898</x:v>
      </x:c>
      <x:c r="N281" s="10" t="n">
        <x:v>862.890458000038</x:v>
      </x:c>
      <x:c r="O281" s="10" t="n">
        <x:f>AVERAGE(L281:N281)</x:f>
        <x:v>886.2754723340913</x:v>
      </x:c>
      <x:c r="P281" s="19" t="str">
        <x:v>b2c5ca4a2c2d
8ae84e98efc7
cacfd61ab6f7
69912204f088
6a7c2a4fa97a</x:v>
      </x:c>
      <x:c r="Q281" s="19" t="str">
        <x:v>vit.pdf 第2页
vit.pdf 第1页
vit.pdf 第7页
vit.pdf 第8页
vit.pdf 第6页</x:v>
      </x:c>
    </x:row>
    <x:row r="282" ht="95" customHeight="1">
      <x:c r="A282" s="2" t="str">
        <x:v>混合+重排序</x:v>
      </x:c>
      <x:c r="B282" s="2" t="str">
        <x:v>vision_survey-04-zh</x:v>
      </x:c>
      <x:c r="C282" s="2" t="str">
        <x:v>zh-&gt;zh</x:v>
      </x:c>
      <x:c r="D282" s="2" t="str">
        <x:v>vision_survey</x:v>
      </x:c>
      <x:c r="E282" s="19" t="str">
        <x:v>田永林等的视觉Transformer综述中，Swin怎样通过窗口降低注意力计算量？</x:v>
      </x:c>
      <x:c r="F282" s="7" t="n">
        <x:v>1</x:v>
      </x:c>
      <x:c r="G282" s="7" t="n">
        <x:v>1</x:v>
      </x:c>
      <x:c r="H282" s="7" t="n">
        <x:v>1</x:v>
      </x:c>
      <x:c r="I282" s="20" t="n">
        <x:f>IF(H282&gt;0,1,0)</x:f>
        <x:v>1</x:v>
      </x:c>
      <x:c r="J282" s="8" t="n">
        <x:f>H282/F282</x:f>
        <x:v>1</x:v>
      </x:c>
      <x:c r="K282" s="9" t="n">
        <x:f>IF(G282="",0,1/G282)</x:f>
        <x:v>1</x:v>
      </x:c>
      <x:c r="L282" s="10" t="n">
        <x:v>1491.1073749972275</x:v>
      </x:c>
      <x:c r="M282" s="10" t="n">
        <x:v>1500.8619580003142</x:v>
      </x:c>
      <x:c r="N282" s="10" t="n">
        <x:v>1499.7792079993815</x:v>
      </x:c>
      <x:c r="O282" s="10" t="n">
        <x:f>AVERAGE(L282:N282)</x:f>
        <x:v>1497.249513665641</x:v>
      </x:c>
      <x:c r="P282" s="19" t="str">
        <x:v>ebf2c2354074
9ba28ace2d13
2eef08fe507d
f01587576172
df5f4497c074</x:v>
      </x:c>
      <x:c r="Q282" s="19" t="str">
        <x:v>vision_survey.pdf 第4页
vision_survey.pdf 第5页
vision_survey.pdf 第5页
vision_survey.pdf 第4页
vision_survey.pdf 第4页</x:v>
      </x:c>
    </x:row>
    <x:row r="283" ht="95" customHeight="1">
      <x:c r="A283" s="2" t="str">
        <x:v>混合+重排序</x:v>
      </x:c>
      <x:c r="B283" s="2" t="str">
        <x:v>vision_survey-04-en</x:v>
      </x:c>
      <x:c r="C283" s="2" t="str">
        <x:v>en-&gt;zh</x:v>
      </x:c>
      <x:c r="D283" s="2" t="str">
        <x:v>vision_survey</x:v>
      </x:c>
      <x:c r="E283" s="19" t="str">
        <x:v>How does Swin reduce attention computation using windows in Tian et al. vision Transformer survey?</x:v>
      </x:c>
      <x:c r="F283" s="7" t="n">
        <x:v>1</x:v>
      </x:c>
      <x:c r="G283" s="7"/>
      <x:c r="H283" s="7" t="n">
        <x:v>0</x:v>
      </x:c>
      <x:c r="I283" s="20" t="n">
        <x:f>IF(H283&gt;0,1,0)</x:f>
        <x:v>0</x:v>
      </x:c>
      <x:c r="J283" s="8" t="n">
        <x:f>H283/F283</x:f>
        <x:v>0</x:v>
      </x:c>
      <x:c r="K283" s="9" t="n">
        <x:f>IF(G283="",0,1/G283)</x:f>
        <x:v>0</x:v>
      </x:c>
      <x:c r="L283" s="10" t="n">
        <x:v>788.8198750006268</x:v>
      </x:c>
      <x:c r="M283" s="10" t="n">
        <x:v>785.5201249985839</x:v>
      </x:c>
      <x:c r="N283" s="10" t="n">
        <x:v>790.7062500016764</x:v>
      </x:c>
      <x:c r="O283" s="10" t="n">
        <x:f>AVERAGE(L283:N283)</x:f>
        <x:v>788.3487500002957</x:v>
      </x:c>
      <x:c r="P283" s="19" t="str">
        <x:v>c0f7198e6e1d
69912204f088
cacfd61ab6f7
e5543bb8269a
430cc231bdbc</x:v>
      </x:c>
      <x:c r="Q283" s="19" t="str">
        <x:v>attention.pdf 第2页
vit.pdf 第8页
vit.pdf 第7页
vit.pdf 第9页
vit.pdf 第1页</x:v>
      </x:c>
    </x:row>
    <x:row r="284" ht="95" customHeight="1">
      <x:c r="A284" s="2" t="str">
        <x:v>混合+重排序</x:v>
      </x:c>
      <x:c r="B284" s="2" t="str">
        <x:v>vision_survey-05-zh</x:v>
      </x:c>
      <x:c r="C284" s="2" t="str">
        <x:v>zh-&gt;zh</x:v>
      </x:c>
      <x:c r="D284" s="2" t="str">
        <x:v>vision_survey</x:v>
      </x:c>
      <x:c r="E284" s="19" t="str">
        <x:v>田永林等的视觉Transformer综述列举了哪两类降低注意力复杂度的方法？</x:v>
      </x:c>
      <x:c r="F284" s="7" t="n">
        <x:v>1</x:v>
      </x:c>
      <x:c r="G284" s="7" t="n">
        <x:v>1</x:v>
      </x:c>
      <x:c r="H284" s="7" t="n">
        <x:v>1</x:v>
      </x:c>
      <x:c r="I284" s="20" t="n">
        <x:f>IF(H284&gt;0,1,0)</x:f>
        <x:v>1</x:v>
      </x:c>
      <x:c r="J284" s="8" t="n">
        <x:f>H284/F284</x:f>
        <x:v>1</x:v>
      </x:c>
      <x:c r="K284" s="9" t="n">
        <x:f>IF(G284="",0,1/G284)</x:f>
        <x:v>1</x:v>
      </x:c>
      <x:c r="L284" s="10" t="n">
        <x:v>1469.4030829996336</x:v>
      </x:c>
      <x:c r="M284" s="10" t="n">
        <x:v>1457.7419579982234</x:v>
      </x:c>
      <x:c r="N284" s="10" t="n">
        <x:v>1463.4783330002392</x:v>
      </x:c>
      <x:c r="O284" s="10" t="n">
        <x:f>AVERAGE(L284:N284)</x:f>
        <x:v>1463.5411246660321</x:v>
      </x:c>
      <x:c r="P284" s="19" t="str">
        <x:v>f01587576172
df5f4497c074
ebf2c2354074
63af7bf26e9e
2eef08fe507d</x:v>
      </x:c>
      <x:c r="Q284" s="19" t="str">
        <x:v>vision_survey.pdf 第4页
vision_survey.pdf 第4页
vision_survey.pdf 第4页
vision_survey.pdf 第7页
vision_survey.pdf 第5页</x:v>
      </x:c>
    </x:row>
    <x:row r="285" ht="95" customHeight="1">
      <x:c r="A285" s="2" t="str">
        <x:v>混合+重排序</x:v>
      </x:c>
      <x:c r="B285" s="2" t="str">
        <x:v>vision_survey-05-en</x:v>
      </x:c>
      <x:c r="C285" s="2" t="str">
        <x:v>en-&gt;zh</x:v>
      </x:c>
      <x:c r="D285" s="2" t="str">
        <x:v>vision_survey</x:v>
      </x:c>
      <x:c r="E285" s="19" t="str">
        <x:v>Which two types of methods reduce attention complexity in Tian et al. vision Transformer survey?</x:v>
      </x:c>
      <x:c r="F285" s="7" t="n">
        <x:v>1</x:v>
      </x:c>
      <x:c r="G285" s="7"/>
      <x:c r="H285" s="7" t="n">
        <x:v>0</x:v>
      </x:c>
      <x:c r="I285" s="20" t="n">
        <x:f>IF(H285&gt;0,1,0)</x:f>
        <x:v>0</x:v>
      </x:c>
      <x:c r="J285" s="8" t="n">
        <x:f>H285/F285</x:f>
        <x:v>0</x:v>
      </x:c>
      <x:c r="K285" s="9" t="n">
        <x:f>IF(G285="",0,1/G285)</x:f>
        <x:v>0</x:v>
      </x:c>
      <x:c r="L285" s="10" t="n">
        <x:v>832.4971250003728</x:v>
      </x:c>
      <x:c r="M285" s="10" t="n">
        <x:v>818.6617920000572</x:v>
      </x:c>
      <x:c r="N285" s="10" t="n">
        <x:v>821.3545420003356</x:v>
      </x:c>
      <x:c r="O285" s="10" t="n">
        <x:f>AVERAGE(L285:N285)</x:f>
        <x:v>824.1711530002552</x:v>
      </x:c>
      <x:c r="P285" s="19" t="str">
        <x:v>d3fc82a0a82c
69912204f088
6a7c2a4fa97a
b52508095ab7
3af642c312d1</x:v>
      </x:c>
      <x:c r="Q285" s="19" t="str">
        <x:v>attention.pdf 第4页
vit.pdf 第8页
vit.pdf 第6页
vision_survey.pdf 第21页
vit.pdf 第2页</x:v>
      </x:c>
    </x:row>
    <x:row r="286" ht="95" customHeight="1">
      <x:c r="A286" s="2" t="str">
        <x:v>混合+重排序</x:v>
      </x:c>
      <x:c r="B286" s="2" t="str">
        <x:v>vision_survey-06-zh</x:v>
      </x:c>
      <x:c r="C286" s="2" t="str">
        <x:v>zh-&gt;zh</x:v>
      </x:c>
      <x:c r="D286" s="2" t="str">
        <x:v>vision_survey</x:v>
      </x:c>
      <x:c r="E286" s="19" t="str">
        <x:v>田永林等的视觉Transformer综述中，DETR怎样将预测和真值对应起来？</x:v>
      </x:c>
      <x:c r="F286" s="7" t="n">
        <x:v>1</x:v>
      </x:c>
      <x:c r="G286" s="7" t="n">
        <x:v>1</x:v>
      </x:c>
      <x:c r="H286" s="7" t="n">
        <x:v>1</x:v>
      </x:c>
      <x:c r="I286" s="20" t="n">
        <x:f>IF(H286&gt;0,1,0)</x:f>
        <x:v>1</x:v>
      </x:c>
      <x:c r="J286" s="8" t="n">
        <x:f>H286/F286</x:f>
        <x:v>1</x:v>
      </x:c>
      <x:c r="K286" s="9" t="n">
        <x:f>IF(G286="",0,1/G286)</x:f>
        <x:v>1</x:v>
      </x:c>
      <x:c r="L286" s="10" t="n">
        <x:v>1492.2957080016204</x:v>
      </x:c>
      <x:c r="M286" s="10" t="n">
        <x:v>1485.566999999719</x:v>
      </x:c>
      <x:c r="N286" s="10" t="n">
        <x:v>1475.7722909998847</x:v>
      </x:c>
      <x:c r="O286" s="10" t="n">
        <x:f>AVERAGE(L286:N286)</x:f>
        <x:v>1484.5449996670748</x:v>
      </x:c>
      <x:c r="P286" s="19" t="str">
        <x:v>552293d11a74
9c78b6c323be
773e67c921d4
c3bd02de8685
48fde759608a</x:v>
      </x:c>
      <x:c r="Q286" s="19" t="str">
        <x:v>vision_survey.pdf 第13页
vision_survey.pdf 第17页
vision_survey.pdf 第13页
vision_survey.pdf 第13页
vision_survey.pdf 第1页</x:v>
      </x:c>
    </x:row>
    <x:row r="287" ht="95" customHeight="1">
      <x:c r="A287" s="2" t="str">
        <x:v>混合+重排序</x:v>
      </x:c>
      <x:c r="B287" s="2" t="str">
        <x:v>vision_survey-06-en</x:v>
      </x:c>
      <x:c r="C287" s="2" t="str">
        <x:v>en-&gt;zh</x:v>
      </x:c>
      <x:c r="D287" s="2" t="str">
        <x:v>vision_survey</x:v>
      </x:c>
      <x:c r="E287" s="19" t="str">
        <x:v>How does DETR assign predictions to ground truth in Tian et al. vision Transformer survey?</x:v>
      </x:c>
      <x:c r="F287" s="7" t="n">
        <x:v>1</x:v>
      </x:c>
      <x:c r="G287" s="7"/>
      <x:c r="H287" s="7" t="n">
        <x:v>0</x:v>
      </x:c>
      <x:c r="I287" s="20" t="n">
        <x:f>IF(H287&gt;0,1,0)</x:f>
        <x:v>0</x:v>
      </x:c>
      <x:c r="J287" s="8" t="n">
        <x:f>H287/F287</x:f>
        <x:v>0</x:v>
      </x:c>
      <x:c r="K287" s="9" t="n">
        <x:f>IF(G287="",0,1/G287)</x:f>
        <x:v>0</x:v>
      </x:c>
      <x:c r="L287" s="10" t="n">
        <x:v>823.3322499982023</x:v>
      </x:c>
      <x:c r="M287" s="10" t="n">
        <x:v>804.9179580011696</x:v>
      </x:c>
      <x:c r="N287" s="10" t="n">
        <x:v>807.7385830001731</x:v>
      </x:c>
      <x:c r="O287" s="10" t="n">
        <x:f>AVERAGE(L287:N287)</x:f>
        <x:v>811.996263666515</x:v>
      </x:c>
      <x:c r="P287" s="19" t="str">
        <x:v>153bf2d1ab88
cf3a136f6c1c
69912204f088
6c35cf93ae6c
83d1199a7c8e</x:v>
      </x:c>
      <x:c r="Q287" s="19" t="str">
        <x:v>vision_survey.pdf 第1页
vision_survey.pdf 第19页
vit.pdf 第8页
vision_survey.pdf 第19页
vision_survey.pdf 第19页</x:v>
      </x:c>
    </x:row>
    <x:row r="288" ht="95" customHeight="1">
      <x:c r="A288" s="2" t="str">
        <x:v>混合+重排序</x:v>
      </x:c>
      <x:c r="B288" s="2" t="str">
        <x:v>vision_survey-07-zh</x:v>
      </x:c>
      <x:c r="C288" s="2" t="str">
        <x:v>zh-&gt;zh</x:v>
      </x:c>
      <x:c r="D288" s="2" t="str">
        <x:v>vision_survey</x:v>
      </x:c>
      <x:c r="E288" s="19" t="str">
        <x:v>田永林等的视觉Transformer综述中，SETR采用哪些解码方案产生分割结果？</x:v>
      </x:c>
      <x:c r="F288" s="7" t="n">
        <x:v>1</x:v>
      </x:c>
      <x:c r="G288" s="7" t="n">
        <x:v>1</x:v>
      </x:c>
      <x:c r="H288" s="7" t="n">
        <x:v>1</x:v>
      </x:c>
      <x:c r="I288" s="20" t="n">
        <x:f>IF(H288&gt;0,1,0)</x:f>
        <x:v>1</x:v>
      </x:c>
      <x:c r="J288" s="8" t="n">
        <x:f>H288/F288</x:f>
        <x:v>1</x:v>
      </x:c>
      <x:c r="K288" s="9" t="n">
        <x:f>IF(G288="",0,1/G288)</x:f>
        <x:v>1</x:v>
      </x:c>
      <x:c r="L288" s="10" t="n">
        <x:v>1507.7417499996955</x:v>
      </x:c>
      <x:c r="M288" s="10" t="n">
        <x:v>1457.6475840003695</x:v>
      </x:c>
      <x:c r="N288" s="10" t="n">
        <x:v>1461.08925000226</x:v>
      </x:c>
      <x:c r="O288" s="10" t="n">
        <x:f>AVERAGE(L288:N288)</x:f>
        <x:v>1475.4928613341083</x:v>
      </x:c>
      <x:c r="P288" s="19" t="str">
        <x:v>670f5ed67a6d
ba08f20acd91
da8c5300e989
48fde759608a
688d9d55c79d</x:v>
      </x:c>
      <x:c r="Q288" s="19" t="str">
        <x:v>vision_survey.pdf 第17页
vision_survey.pdf 第18页
vision_survey.pdf 第18页
vision_survey.pdf 第1页
vision_survey.pdf 第17页</x:v>
      </x:c>
    </x:row>
    <x:row r="289" ht="95" customHeight="1">
      <x:c r="A289" s="2" t="str">
        <x:v>混合+重排序</x:v>
      </x:c>
      <x:c r="B289" s="2" t="str">
        <x:v>vision_survey-07-en</x:v>
      </x:c>
      <x:c r="C289" s="2" t="str">
        <x:v>en-&gt;zh</x:v>
      </x:c>
      <x:c r="D289" s="2" t="str">
        <x:v>vision_survey</x:v>
      </x:c>
      <x:c r="E289" s="19" t="str">
        <x:v>Which decoding schemes does SETR use for segmentation in Tian et al. vision Transformer survey?</x:v>
      </x:c>
      <x:c r="F289" s="7" t="n">
        <x:v>1</x:v>
      </x:c>
      <x:c r="G289" s="7"/>
      <x:c r="H289" s="7" t="n">
        <x:v>0</x:v>
      </x:c>
      <x:c r="I289" s="20" t="n">
        <x:f>IF(H289&gt;0,1,0)</x:f>
        <x:v>0</x:v>
      </x:c>
      <x:c r="J289" s="8" t="n">
        <x:f>H289/F289</x:f>
        <x:v>0</x:v>
      </x:c>
      <x:c r="K289" s="9" t="n">
        <x:f>IF(G289="",0,1/G289)</x:f>
        <x:v>0</x:v>
      </x:c>
      <x:c r="L289" s="10" t="n">
        <x:v>874.4294999996782</x:v>
      </x:c>
      <x:c r="M289" s="10" t="n">
        <x:v>863.780208001117</x:v>
      </x:c>
      <x:c r="N289" s="10" t="n">
        <x:v>867.7727920003235</x:v>
      </x:c>
      <x:c r="O289" s="10" t="n">
        <x:f>AVERAGE(L289:N289)</x:f>
        <x:v>868.6608333337063</x:v>
      </x:c>
      <x:c r="P289" s="19" t="str">
        <x:v>17353483e587
153bf2d1ab88
69912204f088
843a208dcf9f
74c08ebb3bde</x:v>
      </x:c>
      <x:c r="Q289" s="19" t="str">
        <x:v>vision_survey.pdf 第1页
vision_survey.pdf 第1页
vit.pdf 第8页
vit.pdf 第2页
vision_survey.pdf 第22页</x:v>
      </x:c>
    </x:row>
    <x:row r="290" ht="95" customHeight="1">
      <x:c r="A290" s="2" t="str">
        <x:v>混合+重排序</x:v>
      </x:c>
      <x:c r="B290" s="2" t="str">
        <x:v>vision_survey-08-zh</x:v>
      </x:c>
      <x:c r="C290" s="2" t="str">
        <x:v>zh-&gt;zh</x:v>
      </x:c>
      <x:c r="D290" s="2" t="str">
        <x:v>vision_survey</x:v>
      </x:c>
      <x:c r="E290" s="19" t="str">
        <x:v>田永林等的视觉Transformer综述中，SegFormer如何保留多尺度特征并去除位置编码？</x:v>
      </x:c>
      <x:c r="F290" s="7" t="n">
        <x:v>1</x:v>
      </x:c>
      <x:c r="G290" s="7" t="n">
        <x:v>1</x:v>
      </x:c>
      <x:c r="H290" s="7" t="n">
        <x:v>1</x:v>
      </x:c>
      <x:c r="I290" s="20" t="n">
        <x:f>IF(H290&gt;0,1,0)</x:f>
        <x:v>1</x:v>
      </x:c>
      <x:c r="J290" s="8" t="n">
        <x:f>H290/F290</x:f>
        <x:v>1</x:v>
      </x:c>
      <x:c r="K290" s="9" t="n">
        <x:f>IF(G290="",0,1/G290)</x:f>
        <x:v>1</x:v>
      </x:c>
      <x:c r="L290" s="10" t="n">
        <x:v>1547.2913750018051</x:v>
      </x:c>
      <x:c r="M290" s="10" t="n">
        <x:v>1538.5456670010171</x:v>
      </x:c>
      <x:c r="N290" s="10" t="n">
        <x:v>1543.2817920009256</x:v>
      </x:c>
      <x:c r="O290" s="10" t="n">
        <x:f>AVERAGE(L290:N290)</x:f>
        <x:v>1543.0396113345826</x:v>
      </x:c>
      <x:c r="P290" s="19" t="str">
        <x:v>670f5ed67a6d
b5dad46f8fd0
2eef08fe507d
48fde759608a
8956150d3bed</x:v>
      </x:c>
      <x:c r="Q290" s="19" t="str">
        <x:v>vision_survey.pdf 第17页
vision_survey.pdf 第5页
vision_survey.pdf 第5页
vision_survey.pdf 第1页
vision_survey.pdf 第10页</x:v>
      </x:c>
    </x:row>
    <x:row r="291" ht="95" customHeight="1">
      <x:c r="A291" s="2" t="str">
        <x:v>混合+重排序</x:v>
      </x:c>
      <x:c r="B291" s="2" t="str">
        <x:v>vision_survey-08-en</x:v>
      </x:c>
      <x:c r="C291" s="2" t="str">
        <x:v>en-&gt;zh</x:v>
      </x:c>
      <x:c r="D291" s="2" t="str">
        <x:v>vision_survey</x:v>
      </x:c>
      <x:c r="E291" s="19" t="str">
        <x:v>How does SegFormer preserve multiscale features and remove position encodings in Tian et al. vision Transformer survey?</x:v>
      </x:c>
      <x:c r="F291" s="7" t="n">
        <x:v>1</x:v>
      </x:c>
      <x:c r="G291" s="7"/>
      <x:c r="H291" s="7" t="n">
        <x:v>0</x:v>
      </x:c>
      <x:c r="I291" s="20" t="n">
        <x:f>IF(H291&gt;0,1,0)</x:f>
        <x:v>0</x:v>
      </x:c>
      <x:c r="J291" s="8" t="n">
        <x:f>H291/F291</x:f>
        <x:v>0</x:v>
      </x:c>
      <x:c r="K291" s="9" t="n">
        <x:f>IF(G291="",0,1/G291)</x:f>
        <x:v>0</x:v>
      </x:c>
      <x:c r="L291" s="10" t="n">
        <x:v>846.4030420000199</x:v>
      </x:c>
      <x:c r="M291" s="10" t="n">
        <x:v>833.8947910015122</x:v>
      </x:c>
      <x:c r="N291" s="10" t="n">
        <x:v>879.0784579978208</x:v>
      </x:c>
      <x:c r="O291" s="10" t="n">
        <x:f>AVERAGE(L291:N291)</x:f>
        <x:v>853.1254303331176</x:v>
      </x:c>
      <x:c r="P291" s="19" t="str">
        <x:v>b52508095ab7
468f8bc26e15
2c13b9df6937
69912204f088
5b02dff2de83</x:v>
      </x:c>
      <x:c r="Q291" s="19" t="str">
        <x:v>vision_survey.pdf 第21页
vision_survey.pdf 第20页
attention.pdf 第6页
vit.pdf 第8页
vit.pdf 第4页</x:v>
      </x:c>
    </x:row>
  </x:sheetData>
  <x:pageMargins left="0.7" right="0.7" top="0.75" bottom="0.75" header="0.3" footer="0.3"/>
  <x:tableParts count="1">
    <x:tablePart xmlns:r="http://schemas.openxmlformats.org/officeDocument/2006/relationships" r:id="Rad485b70fbd74ea0"/>
  </x:tableParts>
</x:worksheet>
</file>