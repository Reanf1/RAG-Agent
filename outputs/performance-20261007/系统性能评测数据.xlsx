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9185d1a35e5404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性能汇总" sheetId="1" r:id="R1c82b7df202944a2"/>
    <x:sheet xmlns:r="http://schemas.openxmlformats.org/officeDocument/2006/relationships" name="检索逐题" sheetId="2" r:id="R08e1b1e5b8c540a1"/>
    <x:sheet xmlns:r="http://schemas.openxmlformats.org/officeDocument/2006/relationships" name="Agent逐题" sheetId="3" r:id="R967dc5cb888a44f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0.000"/>
    <x:numFmt numFmtId="201" formatCode="0.0%"/>
    <x:numFmt numFmtId="202" formatCode="0.0000"/>
    <x:numFmt numFmtId="203" formatCode="0.0"/>
    <x:numFmt numFmtId="204" formatCode="#,##0"/>
  </x:numFmts>
  <x:fonts count="5">
    <x:font>
      <x:sz val="11"/>
      <x:name val="Carlito"/>
    </x:font>
    <x:font>
      <x:sz val="10"/>
      <x:name val="Arial"/>
    </x:font>
    <x:font>
      <x:b/>
      <x:sz val="10"/>
      <x:color rgb="FFFFFFFF"/>
      <x:name val="Arial"/>
    </x:font>
    <x:font>
      <x:b/>
      <x:sz val="14"/>
      <x:name val="Arial"/>
    </x:font>
    <x:font>
      <x:i/>
      <x:sz val="10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43B53"/>
      </x:patternFill>
    </x:fill>
  </x:fills>
  <x:borders count="1">
    <x:border/>
  </x:borders>
  <x:cellStyleXfs count="1">
    <x:xf numFmtId="0" fontId="0" fillId="0" borderId="0"/>
  </x:cellStyleXfs>
  <x:cellXfs count="14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203" fontId="1" fillId="0" borderId="0" xfId="0" applyNumberFormat="1" applyFont="1" applyFill="1" applyBorder="1" applyAlignment="1">
      <x:alignment vertical="center"/>
    </x:xf>
    <x:xf numFmtId="204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d8a972036b4465a" /><Relationship Type="http://schemas.openxmlformats.org/officeDocument/2006/relationships/theme" Target="/xl/theme/theme1.xml" Id="R3c5748da24e64ea0" /><Relationship Type="http://schemas.openxmlformats.org/officeDocument/2006/relationships/sharedStrings" Target="/xl/sharedStrings.xml" Id="R32a7cfcd52194547" /><Relationship Type="http://schemas.openxmlformats.org/officeDocument/2006/relationships/worksheet" Target="/xl/worksheets/sheet1.xml" Id="R1c82b7df202944a2" /><Relationship Type="http://schemas.openxmlformats.org/officeDocument/2006/relationships/worksheet" Target="/xl/worksheets/sheet2.xml" Id="R08e1b1e5b8c540a1" /><Relationship Type="http://schemas.openxmlformats.org/officeDocument/2006/relationships/worksheet" Target="/xl/worksheets/sheet3.xml" Id="R967dc5cb888a44f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2" hidden="0" customWidth="1"/>
    <x:col min="3" max="3" width="23" hidden="0" customWidth="1"/>
    <x:col min="4" max="4" width="16" hidden="0" customWidth="1"/>
    <x:col min="5" max="5" width="23" hidden="0" customWidth="1"/>
    <x:col min="6" max="6" width="27" hidden="0" customWidth="1"/>
    <x:col min="7" max="7" width="25" hidden="0" customWidth="1"/>
    <x:col min="8" max="8" width="25" hidden="0" customWidth="1"/>
    <x:col min="9" max="9" width="23" hidden="0" customWidth="1"/>
  </x:cols>
  <x:sheetData>
    <x:row r="2" ht="23" customHeight="1">
      <x:c r="A2" s="8" t="str">
        <x:v>Windows视觉Transformer系统性能评测（12篇，60题；2026-10-07）</x:v>
      </x:c>
      <x:c r="B2" s="2"/>
      <x:c r="C2" s="2"/>
      <x:c r="D2" s="2"/>
      <x:c r="E2" s="2"/>
      <x:c r="F2" s="2"/>
      <x:c r="G2" s="2"/>
      <x:c r="H2" s="2"/>
      <x:c r="I2" s="2"/>
    </x:row>
    <x:row r="3" ht="23" customHeight="1">
      <x:c r="A3" s="9" t="str">
        <x:v>检索按论文物理页判定；MRR/Recall截断至5。原文全部英文，失败题保留。</x:v>
      </x:c>
      <x:c r="B3" s="2"/>
      <x:c r="C3" s="2"/>
      <x:c r="D3" s="2"/>
      <x:c r="E3" s="2"/>
      <x:c r="F3" s="2"/>
      <x:c r="G3" s="2"/>
      <x:c r="H3" s="2"/>
      <x:c r="I3" s="2"/>
    </x:row>
    <x:row r="4" ht="23" customHeight="1">
      <x:c r="A4" s="2"/>
      <x:c r="B4" s="2"/>
      <x:c r="C4" s="2"/>
      <x:c r="D4" s="2"/>
      <x:c r="E4" s="2"/>
      <x:c r="F4" s="2"/>
      <x:c r="G4" s="2"/>
      <x:c r="H4" s="2"/>
      <x:c r="I4" s="2"/>
    </x:row>
    <x:row r="5" ht="34" customHeight="1">
      <x:c r="A5" s="6" t="str">
        <x:v>检索配置</x:v>
      </x:c>
      <x:c r="B5" s="6" t="str">
        <x:v>候选数</x:v>
      </x:c>
      <x:c r="C5" s="6" t="str">
        <x:v>题数</x:v>
      </x:c>
      <x:c r="D5" s="6" t="str">
        <x:v>Hit@5</x:v>
      </x:c>
      <x:c r="E5" s="6" t="str">
        <x:v>MRR@5</x:v>
      </x:c>
      <x:c r="F5" s="6" t="str">
        <x:v>Recall@5</x:v>
      </x:c>
      <x:c r="G5" s="6" t="str">
        <x:v>论文覆盖率@5</x:v>
      </x:c>
      <x:c r="H5" s="6" t="str">
        <x:v>全部论文命中@5</x:v>
      </x:c>
      <x:c r="I5" s="6" t="str">
        <x:v>平均延迟(ms)</x:v>
      </x:c>
    </x:row>
    <x:row r="6" ht="23" customHeight="1">
      <x:c r="A6" s="2" t="str">
        <x:v>纯向量</x:v>
      </x:c>
      <x:c r="B6" s="2" t="str">
        <x:v>不适用</x:v>
      </x:c>
      <x:c r="C6" s="2" t="n">
        <x:f>COUNTIFS('检索逐题'!$B$2:$B$301,"vector")</x:f>
        <x:v>60</x:v>
      </x:c>
      <x:c r="D6" s="10" t="n">
        <x:f>AVERAGEIFS('检索逐题'!$K$2:$K$301,'检索逐题'!$B$2:$B$301,"vector")</x:f>
        <x:v>0.4</x:v>
      </x:c>
      <x:c r="E6" s="11" t="n">
        <x:f>AVERAGEIFS('检索逐题'!$L$2:$L$301,'检索逐题'!$B$2:$B$301,"vector")</x:f>
        <x:v>0.25027777777777777</x:v>
      </x:c>
      <x:c r="F6" s="10" t="n">
        <x:f>AVERAGEIFS('检索逐题'!$M$2:$M$301,'检索逐题'!$B$2:$B$301,"vector")</x:f>
        <x:v>0.23944444444444446</x:v>
      </x:c>
      <x:c r="G6" s="10" t="n">
        <x:f>AVERAGEIFS('检索逐题'!$N$2:$N$301,'检索逐题'!$B$2:$B$301,"vector")</x:f>
        <x:v>0.2727777777777778</x:v>
      </x:c>
      <x:c r="H6" s="10" t="n">
        <x:f>AVERAGEIFS('检索逐题'!$O$2:$O$301,'检索逐题'!$B$2:$B$301,"vector")</x:f>
        <x:v>0.18333333333333332</x:v>
      </x:c>
      <x:c r="I6" s="12" t="n">
        <x:f>AVERAGEIFS('检索逐题'!$J$2:$J$301,'检索逐题'!$B$2:$B$301,"vector")*1000</x:f>
        <x:v>89.64167500016629</x:v>
      </x:c>
    </x:row>
    <x:row r="7" ht="23" customHeight="1">
      <x:c r="A7" s="2" t="str">
        <x:v>混合检索</x:v>
      </x:c>
      <x:c r="B7" s="2" t="n">
        <x:v>20</x:v>
      </x:c>
      <x:c r="C7" s="2" t="n">
        <x:f>COUNTIFS('检索逐题'!$B$2:$B$301,"hybrid")</x:f>
        <x:v>60</x:v>
      </x:c>
      <x:c r="D7" s="10" t="n">
        <x:f>AVERAGEIFS('检索逐题'!$K$2:$K$301,'检索逐题'!$B$2:$B$301,"hybrid")</x:f>
        <x:v>0.4</x:v>
      </x:c>
      <x:c r="E7" s="11" t="n">
        <x:f>AVERAGEIFS('检索逐题'!$L$2:$L$301,'检索逐题'!$B$2:$B$301,"hybrid")</x:f>
        <x:v>0.2002777777777777</x:v>
      </x:c>
      <x:c r="F7" s="10" t="n">
        <x:f>AVERAGEIFS('检索逐题'!$M$2:$M$301,'检索逐题'!$B$2:$B$301,"hybrid")</x:f>
        <x:v>0.2658333333333333</x:v>
      </x:c>
      <x:c r="G7" s="10" t="n">
        <x:f>AVERAGEIFS('检索逐题'!$N$2:$N$301,'检索逐题'!$B$2:$B$301,"hybrid")</x:f>
        <x:v>0.2972222222222223</x:v>
      </x:c>
      <x:c r="H7" s="10" t="n">
        <x:f>AVERAGEIFS('检索逐题'!$O$2:$O$301,'检索逐题'!$B$2:$B$301,"hybrid")</x:f>
        <x:v>0.21666666666666667</x:v>
      </x:c>
      <x:c r="I7" s="12" t="n">
        <x:f>AVERAGEIFS('检索逐题'!$J$2:$J$301,'检索逐题'!$B$2:$B$301,"hybrid")*1000</x:f>
        <x:v>175.04855833327989</x:v>
      </x:c>
    </x:row>
    <x:row r="8" ht="23" customHeight="1">
      <x:c r="A8" s="2" t="str">
        <x:v>混合+重排/候选20</x:v>
      </x:c>
      <x:c r="B8" s="2" t="n">
        <x:v>20</x:v>
      </x:c>
      <x:c r="C8" s="2" t="n">
        <x:f>COUNTIFS('检索逐题'!$B$2:$B$301,"rerank20")</x:f>
        <x:v>60</x:v>
      </x:c>
      <x:c r="D8" s="10" t="n">
        <x:f>AVERAGEIFS('检索逐题'!$K$2:$K$301,'检索逐题'!$B$2:$B$301,"rerank20")</x:f>
        <x:v>0.6666666666666666</x:v>
      </x:c>
      <x:c r="E8" s="11" t="n">
        <x:f>AVERAGEIFS('检索逐题'!$L$2:$L$301,'检索逐题'!$B$2:$B$301,"rerank20")</x:f>
        <x:v>0.36833333333333323</x:v>
      </x:c>
      <x:c r="F8" s="10" t="n">
        <x:f>AVERAGEIFS('检索逐题'!$M$2:$M$301,'检索逐题'!$B$2:$B$301,"rerank20")</x:f>
        <x:v>0.42972222222222217</x:v>
      </x:c>
      <x:c r="G8" s="10" t="n">
        <x:f>AVERAGEIFS('检索逐题'!$N$2:$N$301,'检索逐题'!$B$2:$B$301,"rerank20")</x:f>
        <x:v>0.5033333333333333</x:v>
      </x:c>
      <x:c r="H8" s="10" t="n">
        <x:f>AVERAGEIFS('检索逐题'!$O$2:$O$301,'检索逐题'!$B$2:$B$301,"rerank20")</x:f>
        <x:v>0.38333333333333336</x:v>
      </x:c>
      <x:c r="I8" s="12" t="n">
        <x:f>AVERAGEIFS('检索逐题'!$J$2:$J$301,'检索逐题'!$B$2:$B$301,"rerank20")*1000</x:f>
        <x:v>6598.499533333536</x:v>
      </x:c>
    </x:row>
    <x:row r="9" ht="23" customHeight="1">
      <x:c r="A9" s="2" t="str">
        <x:v>混合+重排/候选10</x:v>
      </x:c>
      <x:c r="B9" s="2" t="n">
        <x:v>10</x:v>
      </x:c>
      <x:c r="C9" s="2" t="n">
        <x:f>COUNTIFS('检索逐题'!$B$2:$B$301,"rerank10")</x:f>
        <x:v>60</x:v>
      </x:c>
      <x:c r="D9" s="10" t="n">
        <x:f>AVERAGEIFS('检索逐题'!$K$2:$K$301,'检索逐题'!$B$2:$B$301,"rerank10")</x:f>
        <x:v>0.55</x:v>
      </x:c>
      <x:c r="E9" s="11" t="n">
        <x:f>AVERAGEIFS('检索逐题'!$L$2:$L$301,'检索逐题'!$B$2:$B$301,"rerank10")</x:f>
        <x:v>0.33722222222222226</x:v>
      </x:c>
      <x:c r="F9" s="10" t="n">
        <x:f>AVERAGEIFS('检索逐题'!$M$2:$M$301,'检索逐题'!$B$2:$B$301,"rerank10")</x:f>
        <x:v>0.3469444444444445</x:v>
      </x:c>
      <x:c r="G9" s="10" t="n">
        <x:f>AVERAGEIFS('检索逐题'!$N$2:$N$301,'检索逐题'!$B$2:$B$301,"rerank10")</x:f>
        <x:v>0.3922222222222222</x:v>
      </x:c>
      <x:c r="H9" s="10" t="n">
        <x:f>AVERAGEIFS('检索逐题'!$O$2:$O$301,'检索逐题'!$B$2:$B$301,"rerank10")</x:f>
        <x:v>0.2833333333333333</x:v>
      </x:c>
      <x:c r="I9" s="12" t="n">
        <x:f>AVERAGEIFS('检索逐题'!$J$2:$J$301,'检索逐题'!$B$2:$B$301,"rerank10")*1000</x:f>
        <x:v>3309.149206666855</x:v>
      </x:c>
    </x:row>
    <x:row r="10" ht="23" customHeight="1">
      <x:c r="A10" s="2" t="str">
        <x:v>混合+重排/候选40</x:v>
      </x:c>
      <x:c r="B10" s="2" t="n">
        <x:v>40</x:v>
      </x:c>
      <x:c r="C10" s="2" t="n">
        <x:f>COUNTIFS('检索逐题'!$B$2:$B$301,"rerank40")</x:f>
        <x:v>60</x:v>
      </x:c>
      <x:c r="D10" s="10" t="n">
        <x:f>AVERAGEIFS('检索逐题'!$K$2:$K$301,'检索逐题'!$B$2:$B$301,"rerank40")</x:f>
        <x:v>0.6166666666666667</x:v>
      </x:c>
      <x:c r="E10" s="11" t="n">
        <x:f>AVERAGEIFS('检索逐题'!$L$2:$L$301,'检索逐题'!$B$2:$B$301,"rerank40")</x:f>
        <x:v>0.34083333333333327</x:v>
      </x:c>
      <x:c r="F10" s="10" t="n">
        <x:f>AVERAGEIFS('检索逐题'!$M$2:$M$301,'检索逐题'!$B$2:$B$301,"rerank40")</x:f>
        <x:v>0.425</x:v>
      </x:c>
      <x:c r="G10" s="10" t="n">
        <x:f>AVERAGEIFS('检索逐题'!$N$2:$N$301,'检索逐题'!$B$2:$B$301,"rerank40")</x:f>
        <x:v>0.47777777777777786</x:v>
      </x:c>
      <x:c r="H10" s="10" t="n">
        <x:f>AVERAGEIFS('检索逐题'!$O$2:$O$301,'检索逐题'!$B$2:$B$301,"rerank40")</x:f>
        <x:v>0.36666666666666664</x:v>
      </x:c>
      <x:c r="I10" s="12" t="n">
        <x:f>AVERAGEIFS('检索逐题'!$J$2:$J$301,'检索逐题'!$B$2:$B$301,"rerank40")*1000</x:f>
        <x:v>13839.087193333216</x:v>
      </x:c>
    </x:row>
    <x:row r="11" ht="23" customHeight="1">
      <x:c r="A11" s="2"/>
      <x:c r="B11" s="2"/>
      <x:c r="C11" s="2"/>
      <x:c r="D11" s="2"/>
      <x:c r="E11" s="2"/>
      <x:c r="F11" s="2"/>
      <x:c r="G11" s="2"/>
      <x:c r="H11" s="2"/>
      <x:c r="I11" s="2"/>
    </x:row>
    <x:row r="12" ht="23" customHeight="1">
      <x:c r="A12" s="2"/>
      <x:c r="B12" s="2"/>
      <x:c r="C12" s="2"/>
      <x:c r="D12" s="2"/>
      <x:c r="E12" s="2"/>
      <x:c r="F12" s="2"/>
      <x:c r="G12" s="2"/>
      <x:c r="H12" s="2"/>
      <x:c r="I12" s="2"/>
    </x:row>
    <x:row r="13" ht="23" customHeight="1">
      <x:c r="A13" s="2"/>
      <x:c r="B13" s="2"/>
      <x:c r="C13" s="2"/>
      <x:c r="D13" s="2"/>
      <x:c r="E13" s="2"/>
      <x:c r="F13" s="2"/>
      <x:c r="G13" s="2"/>
      <x:c r="H13" s="2"/>
      <x:c r="I13" s="2"/>
    </x:row>
    <x:row r="14" ht="38" customHeight="1">
      <x:c r="A14" s="6" t="str">
        <x:v>Agent配置</x:v>
      </x:c>
      <x:c r="B14" s="6" t="str">
        <x:v>题数</x:v>
      </x:c>
      <x:c r="C14" s="6" t="str">
        <x:v>工具选择准确率</x:v>
      </x:c>
      <x:c r="D14" s="6" t="str">
        <x:v>平均轮次</x:v>
      </x:c>
      <x:c r="E14" s="6" t="str">
        <x:v>平均完整响应(s)</x:v>
      </x:c>
      <x:c r="F14" s="6" t="str">
        <x:v>平均Token(完整请求)</x:v>
      </x:c>
      <x:c r="G14" s="6" t="str">
        <x:v>完整请求Token合计</x:v>
      </x:c>
      <x:c r="H14" s="6" t="str">
        <x:v>用量不完整题数</x:v>
      </x:c>
      <x:c r="I14" s="6" t="str">
        <x:v>自报完成率</x:v>
      </x:c>
    </x:row>
    <x:row r="15" ht="23" customHeight="1">
      <x:c r="A15" s="2" t="str">
        <x:v>默认规则路由+ReAct</x:v>
      </x:c>
      <x:c r="B15" s="2" t="n">
        <x:f>COUNTIFS('Agent逐题'!$B$2:$B$121,"default")</x:f>
        <x:v>60</x:v>
      </x:c>
      <x:c r="C15" s="10" t="n">
        <x:f>AVERAGEIFS('Agent逐题'!$E$2:$E$121,'Agent逐题'!$B$2:$B$121,"default")</x:f>
        <x:v>0.9333333333333333</x:v>
      </x:c>
      <x:c r="D15" s="12" t="n">
        <x:f>AVERAGEIFS('Agent逐题'!$F$2:$F$121,'Agent逐题'!$B$2:$B$121,"default")</x:f>
        <x:v>1.2</x:v>
      </x:c>
      <x:c r="E15" s="12" t="n">
        <x:f>AVERAGEIFS('Agent逐题'!$G$2:$G$121,'Agent逐题'!$B$2:$B$121,"default")</x:f>
        <x:v>28.187163729999885</x:v>
      </x:c>
      <x:c r="F15" s="12" t="n">
        <x:f>IF(COUNTIFS('Agent逐题'!$B$2:$B$121,"default",'Agent逐题'!$J$2:$J$121,0)=0,"未知",AVERAGEIFS('Agent逐题'!$K$2:$K$121,'Agent逐题'!$B$2:$B$121,"default",'Agent逐题'!$J$2:$J$121,0))</x:f>
        <x:v>10441.25</x:v>
      </x:c>
      <x:c r="G15" s="13" t="n">
        <x:f>SUMIFS('Agent逐题'!$K$2:$K$121,'Agent逐题'!$B$2:$B$121,"default")</x:f>
        <x:v>626475</x:v>
      </x:c>
      <x:c r="H15" s="13" t="n">
        <x:f>COUNTIFS('Agent逐题'!$B$2:$B$121,"default",'Agent逐题'!$J$2:$J$121,"&gt;0")</x:f>
        <x:v>0</x:v>
      </x:c>
      <x:c r="I15" s="10" t="n">
        <x:f>AVERAGEIFS('Agent逐题'!$M$2:$M$121,'Agent逐题'!$B$2:$B$121,"default")</x:f>
        <x:v>0.8333333333333334</x:v>
      </x:c>
    </x:row>
    <x:row r="16" ht="23" customHeight="1">
      <x:c r="A16" s="2" t="str">
        <x:v>关闭规则路由的ReAct</x:v>
      </x:c>
      <x:c r="B16" s="2" t="n">
        <x:f>COUNTIFS('Agent逐题'!$B$2:$B$121,"no_rules")</x:f>
        <x:v>60</x:v>
      </x:c>
      <x:c r="C16" s="10" t="n">
        <x:f>AVERAGEIFS('Agent逐题'!$E$2:$E$121,'Agent逐题'!$B$2:$B$121,"no_rules")</x:f>
        <x:v>0.9333333333333333</x:v>
      </x:c>
      <x:c r="D16" s="12" t="n">
        <x:f>AVERAGEIFS('Agent逐题'!$F$2:$F$121,'Agent逐题'!$B$2:$B$121,"no_rules")</x:f>
        <x:v>1.1666666666666667</x:v>
      </x:c>
      <x:c r="E16" s="12" t="n">
        <x:f>AVERAGEIFS('Agent逐题'!$G$2:$G$121,'Agent逐题'!$B$2:$B$121,"no_rules")</x:f>
        <x:v>30.039902725000015</x:v>
      </x:c>
      <x:c r="F16" s="12" t="n">
        <x:f>IF(COUNTIFS('Agent逐题'!$B$2:$B$121,"no_rules",'Agent逐题'!$J$2:$J$121,0)=0,"未知",AVERAGEIFS('Agent逐题'!$K$2:$K$121,'Agent逐题'!$B$2:$B$121,"no_rules",'Agent逐题'!$J$2:$J$121,0))</x:f>
        <x:v>10992.033333333333</x:v>
      </x:c>
      <x:c r="G16" s="13" t="n">
        <x:f>SUMIFS('Agent逐题'!$K$2:$K$121,'Agent逐题'!$B$2:$B$121,"no_rules")</x:f>
        <x:v>659522</x:v>
      </x:c>
      <x:c r="H16" s="13" t="n">
        <x:f>COUNTIFS('Agent逐题'!$B$2:$B$121,"no_rules",'Agent逐题'!$J$2:$J$121,"&gt;0")</x:f>
        <x:v>0</x:v>
      </x:c>
      <x:c r="I16" s="10" t="n">
        <x:f>AVERAGEIFS('Agent逐题'!$M$2:$M$121,'Agent逐题'!$B$2:$B$121,"no_rules")</x:f>
        <x:v>0.8166666666666667</x:v>
      </x:c>
    </x:row>
    <x:row r="17" ht="23" customHeight="1">
      <x:c r="A17" s="2"/>
      <x:c r="B17" s="2"/>
      <x:c r="C17" s="2"/>
      <x:c r="D17" s="2"/>
      <x:c r="E17" s="2"/>
      <x:c r="F17" s="2"/>
      <x:c r="G17" s="2"/>
      <x:c r="H17" s="2"/>
      <x:c r="I17" s="2"/>
    </x:row>
    <x:row r="18" ht="23" customHeight="1">
      <x:c r="A18" s="2"/>
      <x:c r="B18" s="2"/>
      <x:c r="C18" s="2"/>
      <x:c r="D18" s="2"/>
      <x:c r="E18" s="2"/>
      <x:c r="F18" s="2"/>
      <x:c r="G18" s="2"/>
      <x:c r="H18" s="2"/>
      <x:c r="I18" s="2"/>
    </x:row>
    <x:row r="19" ht="23" customHeight="1">
      <x:c r="A19" s="2" t="str">
        <x:v>工具选择准确率和自报完成率均不等于答案正确率；人工评分在另一本工作簿填写。</x:v>
      </x:c>
      <x:c r="B19" s="2"/>
      <x:c r="C19" s="2"/>
      <x:c r="D19" s="2"/>
      <x:c r="E19" s="2"/>
      <x:c r="F19" s="2"/>
      <x:c r="G19" s="2"/>
      <x:c r="H19" s="2"/>
      <x:c r="I19" s="2"/>
    </x:row>
    <x:row r="22">
      <x:c r="A22" t="str">
        <x:v>原始结果：reports/5_5_2 系统性能评估/Windows正式性能评测_20261007/retrieval.json、agent.json。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2" hidden="0" customWidth="1"/>
    <x:col min="2" max="2" width="16" hidden="0" customWidth="1"/>
    <x:col min="3" max="3" width="15" hidden="0" customWidth="1"/>
    <x:col min="4" max="4" width="12" hidden="0" customWidth="1"/>
    <x:col min="5" max="5" width="19" hidden="0" customWidth="1"/>
    <x:col min="6" max="6" width="13" hidden="0" customWidth="1"/>
    <x:col min="7" max="7" width="17" hidden="0" customWidth="1"/>
    <x:col min="8" max="8" width="15" hidden="0" customWidth="1"/>
    <x:col min="9" max="9" width="19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8" hidden="0" customWidth="1"/>
    <x:col min="15" max="15" width="21" hidden="0" customWidth="1"/>
  </x:cols>
  <x:sheetData>
    <x:row r="1" ht="34" customHeight="1">
      <x:c r="A1" s="6" t="str">
        <x:v>题号</x:v>
      </x:c>
      <x:c r="B1" s="6" t="str">
        <x:v>配置</x:v>
      </x:c>
      <x:c r="C1" s="6" t="str">
        <x:v>类型</x:v>
      </x:c>
      <x:c r="D1" s="6" t="str">
        <x:v>问题语言</x:v>
      </x:c>
      <x:c r="E1" s="6" t="str">
        <x:v>首个命中块排名</x:v>
      </x:c>
      <x:c r="F1" s="6" t="str">
        <x:v>标注页数</x:v>
      </x:c>
      <x:c r="G1" s="6" t="str">
        <x:v>命中标注页数</x:v>
      </x:c>
      <x:c r="H1" s="6" t="str">
        <x:v>标注论文数</x:v>
      </x:c>
      <x:c r="I1" s="6" t="str">
        <x:v>命中标注论文数</x:v>
      </x:c>
      <x:c r="J1" s="6" t="str">
        <x:v>检索秒数</x:v>
      </x:c>
      <x:c r="K1" s="6" t="str">
        <x:v>Hit@5</x:v>
      </x:c>
      <x:c r="L1" s="6" t="str">
        <x:v>MRR@5</x:v>
      </x:c>
      <x:c r="M1" s="6" t="str">
        <x:v>Recall@5</x:v>
      </x:c>
      <x:c r="N1" s="6" t="str">
        <x:v>论文覆盖率@5</x:v>
      </x:c>
      <x:c r="O1" s="6" t="str">
        <x:v>全部论文命中@5</x:v>
      </x:c>
    </x:row>
    <x:row r="2" ht="23" customHeight="1">
      <x:c r="A2" s="2" t="str">
        <x:v>F002</x:v>
      </x:c>
      <x:c r="B2" s="2" t="str">
        <x:v>vector</x:v>
      </x:c>
      <x:c r="C2" s="2" t="str">
        <x:v>fact</x:v>
      </x:c>
      <x:c r="D2" s="2" t="str">
        <x:v>en</x:v>
      </x:c>
      <x:c r="E2" s="2"/>
      <x:c r="F2" s="2" t="n">
        <x:v>1</x:v>
      </x:c>
      <x:c r="G2" s="2" t="n">
        <x:v>0</x:v>
      </x:c>
      <x:c r="H2" s="2" t="n">
        <x:v>1</x:v>
      </x:c>
      <x:c r="I2" s="2" t="n">
        <x:v>0</x:v>
      </x:c>
      <x:c r="J2" s="7" t="n">
        <x:v>0.08161249999830034</x:v>
      </x:c>
      <x:c r="K2" s="7" t="n">
        <x:f>IF(G2&gt;0,1,0)</x:f>
        <x:v>0</x:v>
      </x:c>
      <x:c r="L2" s="7" t="n">
        <x:f>IF(E2="",0,1/E2)</x:f>
        <x:v>0</x:v>
      </x:c>
      <x:c r="M2" s="7" t="n">
        <x:f>G2/F2</x:f>
        <x:v>0</x:v>
      </x:c>
      <x:c r="N2" s="7" t="n">
        <x:f>I2/H2</x:f>
        <x:v>0</x:v>
      </x:c>
      <x:c r="O2" s="7" t="n">
        <x:f>IF(I2=H2,1,0)</x:f>
        <x:v>0</x:v>
      </x:c>
    </x:row>
    <x:row r="3" ht="23" customHeight="1">
      <x:c r="A3" s="2" t="str">
        <x:v>F002</x:v>
      </x:c>
      <x:c r="B3" s="2" t="str">
        <x:v>hybrid</x:v>
      </x:c>
      <x:c r="C3" s="2" t="str">
        <x:v>fact</x:v>
      </x:c>
      <x:c r="D3" s="2" t="str">
        <x:v>en</x:v>
      </x:c>
      <x:c r="E3" s="2"/>
      <x:c r="F3" s="2" t="n">
        <x:v>1</x:v>
      </x:c>
      <x:c r="G3" s="2" t="n">
        <x:v>0</x:v>
      </x:c>
      <x:c r="H3" s="2" t="n">
        <x:v>1</x:v>
      </x:c>
      <x:c r="I3" s="2" t="n">
        <x:v>0</x:v>
      </x:c>
      <x:c r="J3" s="7" t="n">
        <x:v>0.14547699999820907</x:v>
      </x:c>
      <x:c r="K3" s="7" t="n">
        <x:f>IF(G3&gt;0,1,0)</x:f>
        <x:v>0</x:v>
      </x:c>
      <x:c r="L3" s="7" t="n">
        <x:f>IF(E3="",0,1/E3)</x:f>
        <x:v>0</x:v>
      </x:c>
      <x:c r="M3" s="7" t="n">
        <x:f>G3/F3</x:f>
        <x:v>0</x:v>
      </x:c>
      <x:c r="N3" s="7" t="n">
        <x:f>I3/H3</x:f>
        <x:v>0</x:v>
      </x:c>
      <x:c r="O3" s="7" t="n">
        <x:f>IF(I3=H3,1,0)</x:f>
        <x:v>0</x:v>
      </x:c>
    </x:row>
    <x:row r="4" ht="23" customHeight="1">
      <x:c r="A4" s="2" t="str">
        <x:v>F002</x:v>
      </x:c>
      <x:c r="B4" s="2" t="str">
        <x:v>rerank20</x:v>
      </x:c>
      <x:c r="C4" s="2" t="str">
        <x:v>fact</x:v>
      </x:c>
      <x:c r="D4" s="2" t="str">
        <x:v>en</x:v>
      </x:c>
      <x:c r="E4" s="2" t="n">
        <x:v>3</x:v>
      </x:c>
      <x:c r="F4" s="2" t="n">
        <x:v>1</x:v>
      </x:c>
      <x:c r="G4" s="2" t="n">
        <x:v>1</x:v>
      </x:c>
      <x:c r="H4" s="2" t="n">
        <x:v>1</x:v>
      </x:c>
      <x:c r="I4" s="2" t="n">
        <x:v>1</x:v>
      </x:c>
      <x:c r="J4" s="7" t="n">
        <x:v>8.59166550000009</x:v>
      </x:c>
      <x:c r="K4" s="7" t="n">
        <x:f>IF(G4&gt;0,1,0)</x:f>
        <x:v>1</x:v>
      </x:c>
      <x:c r="L4" s="7" t="n">
        <x:f>IF(E4="",0,1/E4)</x:f>
        <x:v>0.3333333333333333</x:v>
      </x:c>
      <x:c r="M4" s="7" t="n">
        <x:f>G4/F4</x:f>
        <x:v>1</x:v>
      </x:c>
      <x:c r="N4" s="7" t="n">
        <x:f>I4/H4</x:f>
        <x:v>1</x:v>
      </x:c>
      <x:c r="O4" s="7" t="n">
        <x:f>IF(I4=H4,1,0)</x:f>
        <x:v>1</x:v>
      </x:c>
    </x:row>
    <x:row r="5" ht="23" customHeight="1">
      <x:c r="A5" s="2" t="str">
        <x:v>F002</x:v>
      </x:c>
      <x:c r="B5" s="2" t="str">
        <x:v>rerank10</x:v>
      </x:c>
      <x:c r="C5" s="2" t="str">
        <x:v>fact</x:v>
      </x:c>
      <x:c r="D5" s="2" t="str">
        <x:v>en</x:v>
      </x:c>
      <x:c r="E5" s="2"/>
      <x:c r="F5" s="2" t="n">
        <x:v>1</x:v>
      </x:c>
      <x:c r="G5" s="2" t="n">
        <x:v>0</x:v>
      </x:c>
      <x:c r="H5" s="2" t="n">
        <x:v>1</x:v>
      </x:c>
      <x:c r="I5" s="2" t="n">
        <x:v>0</x:v>
      </x:c>
      <x:c r="J5" s="7" t="n">
        <x:v>6.111384600000747</x:v>
      </x:c>
      <x:c r="K5" s="7" t="n">
        <x:f>IF(G5&gt;0,1,0)</x:f>
        <x:v>0</x:v>
      </x:c>
      <x:c r="L5" s="7" t="n">
        <x:f>IF(E5="",0,1/E5)</x:f>
        <x:v>0</x:v>
      </x:c>
      <x:c r="M5" s="7" t="n">
        <x:f>G5/F5</x:f>
        <x:v>0</x:v>
      </x:c>
      <x:c r="N5" s="7" t="n">
        <x:f>I5/H5</x:f>
        <x:v>0</x:v>
      </x:c>
      <x:c r="O5" s="7" t="n">
        <x:f>IF(I5=H5,1,0)</x:f>
        <x:v>0</x:v>
      </x:c>
    </x:row>
    <x:row r="6" ht="23" customHeight="1">
      <x:c r="A6" s="2" t="str">
        <x:v>F002</x:v>
      </x:c>
      <x:c r="B6" s="2" t="str">
        <x:v>rerank40</x:v>
      </x:c>
      <x:c r="C6" s="2" t="str">
        <x:v>fact</x:v>
      </x:c>
      <x:c r="D6" s="2" t="str">
        <x:v>en</x:v>
      </x:c>
      <x:c r="E6" s="2" t="n">
        <x:v>4</x:v>
      </x:c>
      <x:c r="F6" s="2" t="n">
        <x:v>1</x:v>
      </x:c>
      <x:c r="G6" s="2" t="n">
        <x:v>1</x:v>
      </x:c>
      <x:c r="H6" s="2" t="n">
        <x:v>1</x:v>
      </x:c>
      <x:c r="I6" s="2" t="n">
        <x:v>1</x:v>
      </x:c>
      <x:c r="J6" s="7" t="n">
        <x:v>12.987913900000422</x:v>
      </x:c>
      <x:c r="K6" s="7" t="n">
        <x:f>IF(G6&gt;0,1,0)</x:f>
        <x:v>1</x:v>
      </x:c>
      <x:c r="L6" s="7" t="n">
        <x:f>IF(E6="",0,1/E6)</x:f>
        <x:v>0.25</x:v>
      </x:c>
      <x:c r="M6" s="7" t="n">
        <x:f>G6/F6</x:f>
        <x:v>1</x:v>
      </x:c>
      <x:c r="N6" s="7" t="n">
        <x:f>I6/H6</x:f>
        <x:v>1</x:v>
      </x:c>
      <x:c r="O6" s="7" t="n">
        <x:f>IF(I6=H6,1,0)</x:f>
        <x:v>1</x:v>
      </x:c>
    </x:row>
    <x:row r="7" ht="23" customHeight="1">
      <x:c r="A7" s="2" t="str">
        <x:v>S010</x:v>
      </x:c>
      <x:c r="B7" s="2" t="str">
        <x:v>hybrid</x:v>
      </x:c>
      <x:c r="C7" s="2" t="str">
        <x:v>synthesis</x:v>
      </x:c>
      <x:c r="D7" s="2" t="str">
        <x:v>en</x:v>
      </x:c>
      <x:c r="E7" s="2"/>
      <x:c r="F7" s="2" t="n">
        <x:v>2</x:v>
      </x:c>
      <x:c r="G7" s="2" t="n">
        <x:v>0</x:v>
      </x:c>
      <x:c r="H7" s="2" t="n">
        <x:v>2</x:v>
      </x:c>
      <x:c r="I7" s="2" t="n">
        <x:v>0</x:v>
      </x:c>
      <x:c r="J7" s="7" t="n">
        <x:v>0.16574089999994612</x:v>
      </x:c>
      <x:c r="K7" s="7" t="n">
        <x:f>IF(G7&gt;0,1,0)</x:f>
        <x:v>0</x:v>
      </x:c>
      <x:c r="L7" s="7" t="n">
        <x:f>IF(E7="",0,1/E7)</x:f>
        <x:v>0</x:v>
      </x:c>
      <x:c r="M7" s="7" t="n">
        <x:f>G7/F7</x:f>
        <x:v>0</x:v>
      </x:c>
      <x:c r="N7" s="7" t="n">
        <x:f>I7/H7</x:f>
        <x:v>0</x:v>
      </x:c>
      <x:c r="O7" s="7" t="n">
        <x:f>IF(I7=H7,1,0)</x:f>
        <x:v>0</x:v>
      </x:c>
    </x:row>
    <x:row r="8" ht="23" customHeight="1">
      <x:c r="A8" s="2" t="str">
        <x:v>S010</x:v>
      </x:c>
      <x:c r="B8" s="2" t="str">
        <x:v>rerank20</x:v>
      </x:c>
      <x:c r="C8" s="2" t="str">
        <x:v>synthesis</x:v>
      </x:c>
      <x:c r="D8" s="2" t="str">
        <x:v>en</x:v>
      </x:c>
      <x:c r="E8" s="2" t="n">
        <x:v>4</x:v>
      </x:c>
      <x:c r="F8" s="2" t="n">
        <x:v>2</x:v>
      </x:c>
      <x:c r="G8" s="2" t="n">
        <x:v>1</x:v>
      </x:c>
      <x:c r="H8" s="2" t="n">
        <x:v>2</x:v>
      </x:c>
      <x:c r="I8" s="2" t="n">
        <x:v>1</x:v>
      </x:c>
      <x:c r="J8" s="7" t="n">
        <x:v>4.762707500001852</x:v>
      </x:c>
      <x:c r="K8" s="7" t="n">
        <x:f>IF(G8&gt;0,1,0)</x:f>
        <x:v>1</x:v>
      </x:c>
      <x:c r="L8" s="7" t="n">
        <x:f>IF(E8="",0,1/E8)</x:f>
        <x:v>0.25</x:v>
      </x:c>
      <x:c r="M8" s="7" t="n">
        <x:f>G8/F8</x:f>
        <x:v>0.5</x:v>
      </x:c>
      <x:c r="N8" s="7" t="n">
        <x:f>I8/H8</x:f>
        <x:v>0.5</x:v>
      </x:c>
      <x:c r="O8" s="7" t="n">
        <x:f>IF(I8=H8,1,0)</x:f>
        <x:v>0</x:v>
      </x:c>
    </x:row>
    <x:row r="9" ht="23" customHeight="1">
      <x:c r="A9" s="2" t="str">
        <x:v>S010</x:v>
      </x:c>
      <x:c r="B9" s="2" t="str">
        <x:v>rerank10</x:v>
      </x:c>
      <x:c r="C9" s="2" t="str">
        <x:v>synthesis</x:v>
      </x:c>
      <x:c r="D9" s="2" t="str">
        <x:v>en</x:v>
      </x:c>
      <x:c r="E9" s="2" t="n">
        <x:v>3</x:v>
      </x:c>
      <x:c r="F9" s="2" t="n">
        <x:v>2</x:v>
      </x:c>
      <x:c r="G9" s="2" t="n">
        <x:v>1</x:v>
      </x:c>
      <x:c r="H9" s="2" t="n">
        <x:v>2</x:v>
      </x:c>
      <x:c r="I9" s="2" t="n">
        <x:v>1</x:v>
      </x:c>
      <x:c r="J9" s="7" t="n">
        <x:v>2.3768726000016613</x:v>
      </x:c>
      <x:c r="K9" s="7" t="n">
        <x:f>IF(G9&gt;0,1,0)</x:f>
        <x:v>1</x:v>
      </x:c>
      <x:c r="L9" s="7" t="n">
        <x:f>IF(E9="",0,1/E9)</x:f>
        <x:v>0.3333333333333333</x:v>
      </x:c>
      <x:c r="M9" s="7" t="n">
        <x:f>G9/F9</x:f>
        <x:v>0.5</x:v>
      </x:c>
      <x:c r="N9" s="7" t="n">
        <x:f>I9/H9</x:f>
        <x:v>0.5</x:v>
      </x:c>
      <x:c r="O9" s="7" t="n">
        <x:f>IF(I9=H9,1,0)</x:f>
        <x:v>0</x:v>
      </x:c>
    </x:row>
    <x:row r="10" ht="23" customHeight="1">
      <x:c r="A10" s="2" t="str">
        <x:v>S010</x:v>
      </x:c>
      <x:c r="B10" s="2" t="str">
        <x:v>rerank40</x:v>
      </x:c>
      <x:c r="C10" s="2" t="str">
        <x:v>synthesis</x:v>
      </x:c>
      <x:c r="D10" s="2" t="str">
        <x:v>en</x:v>
      </x:c>
      <x:c r="E10" s="2"/>
      <x:c r="F10" s="2" t="n">
        <x:v>2</x:v>
      </x:c>
      <x:c r="G10" s="2" t="n">
        <x:v>0</x:v>
      </x:c>
      <x:c r="H10" s="2" t="n">
        <x:v>2</x:v>
      </x:c>
      <x:c r="I10" s="2" t="n">
        <x:v>0</x:v>
      </x:c>
      <x:c r="J10" s="7" t="n">
        <x:v>10.081193399997574</x:v>
      </x:c>
      <x:c r="K10" s="7" t="n">
        <x:f>IF(G10&gt;0,1,0)</x:f>
        <x:v>0</x:v>
      </x:c>
      <x:c r="L10" s="7" t="n">
        <x:f>IF(E10="",0,1/E10)</x:f>
        <x:v>0</x:v>
      </x:c>
      <x:c r="M10" s="7" t="n">
        <x:f>G10/F10</x:f>
        <x:v>0</x:v>
      </x:c>
      <x:c r="N10" s="7" t="n">
        <x:f>I10/H10</x:f>
        <x:v>0</x:v>
      </x:c>
      <x:c r="O10" s="7" t="n">
        <x:f>IF(I10=H10,1,0)</x:f>
        <x:v>0</x:v>
      </x:c>
    </x:row>
    <x:row r="11" ht="23" customHeight="1">
      <x:c r="A11" s="2" t="str">
        <x:v>S010</x:v>
      </x:c>
      <x:c r="B11" s="2" t="str">
        <x:v>vector</x:v>
      </x:c>
      <x:c r="C11" s="2" t="str">
        <x:v>synthesis</x:v>
      </x:c>
      <x:c r="D11" s="2" t="str">
        <x:v>en</x:v>
      </x:c>
      <x:c r="E11" s="2"/>
      <x:c r="F11" s="2" t="n">
        <x:v>2</x:v>
      </x:c>
      <x:c r="G11" s="2" t="n">
        <x:v>0</x:v>
      </x:c>
      <x:c r="H11" s="2" t="n">
        <x:v>2</x:v>
      </x:c>
      <x:c r="I11" s="2" t="n">
        <x:v>0</x:v>
      </x:c>
      <x:c r="J11" s="7" t="n">
        <x:v>0.07507640000039828</x:v>
      </x:c>
      <x:c r="K11" s="7" t="n">
        <x:f>IF(G11&gt;0,1,0)</x:f>
        <x:v>0</x:v>
      </x:c>
      <x:c r="L11" s="7" t="n">
        <x:f>IF(E11="",0,1/E11)</x:f>
        <x:v>0</x:v>
      </x:c>
      <x:c r="M11" s="7" t="n">
        <x:f>G11/F11</x:f>
        <x:v>0</x:v>
      </x:c>
      <x:c r="N11" s="7" t="n">
        <x:f>I11/H11</x:f>
        <x:v>0</x:v>
      </x:c>
      <x:c r="O11" s="7" t="n">
        <x:f>IF(I11=H11,1,0)</x:f>
        <x:v>0</x:v>
      </x:c>
    </x:row>
    <x:row r="12" ht="23" customHeight="1">
      <x:c r="A12" s="2" t="str">
        <x:v>F001</x:v>
      </x:c>
      <x:c r="B12" s="2" t="str">
        <x:v>rerank20</x:v>
      </x:c>
      <x:c r="C12" s="2" t="str">
        <x:v>fact</x:v>
      </x:c>
      <x:c r="D12" s="2" t="str">
        <x:v>zh</x:v>
      </x:c>
      <x:c r="E12" s="2"/>
      <x:c r="F12" s="2" t="n">
        <x:v>1</x:v>
      </x:c>
      <x:c r="G12" s="2" t="n">
        <x:v>0</x:v>
      </x:c>
      <x:c r="H12" s="2" t="n">
        <x:v>1</x:v>
      </x:c>
      <x:c r="I12" s="2" t="n">
        <x:v>0</x:v>
      </x:c>
      <x:c r="J12" s="7" t="n">
        <x:v>6.302532400000928</x:v>
      </x:c>
      <x:c r="K12" s="7" t="n">
        <x:f>IF(G12&gt;0,1,0)</x:f>
        <x:v>0</x:v>
      </x:c>
      <x:c r="L12" s="7" t="n">
        <x:f>IF(E12="",0,1/E12)</x:f>
        <x:v>0</x:v>
      </x:c>
      <x:c r="M12" s="7" t="n">
        <x:f>G12/F12</x:f>
        <x:v>0</x:v>
      </x:c>
      <x:c r="N12" s="7" t="n">
        <x:f>I12/H12</x:f>
        <x:v>0</x:v>
      </x:c>
      <x:c r="O12" s="7" t="n">
        <x:f>IF(I12=H12,1,0)</x:f>
        <x:v>0</x:v>
      </x:c>
    </x:row>
    <x:row r="13" ht="23" customHeight="1">
      <x:c r="A13" s="2" t="str">
        <x:v>F001</x:v>
      </x:c>
      <x:c r="B13" s="2" t="str">
        <x:v>rerank10</x:v>
      </x:c>
      <x:c r="C13" s="2" t="str">
        <x:v>fact</x:v>
      </x:c>
      <x:c r="D13" s="2" t="str">
        <x:v>zh</x:v>
      </x:c>
      <x:c r="E13" s="2"/>
      <x:c r="F13" s="2" t="n">
        <x:v>1</x:v>
      </x:c>
      <x:c r="G13" s="2" t="n">
        <x:v>0</x:v>
      </x:c>
      <x:c r="H13" s="2" t="n">
        <x:v>1</x:v>
      </x:c>
      <x:c r="I13" s="2" t="n">
        <x:v>0</x:v>
      </x:c>
      <x:c r="J13" s="7" t="n">
        <x:v>2.7934526999997615</x:v>
      </x:c>
      <x:c r="K13" s="7" t="n">
        <x:f>IF(G13&gt;0,1,0)</x:f>
        <x:v>0</x:v>
      </x:c>
      <x:c r="L13" s="7" t="n">
        <x:f>IF(E13="",0,1/E13)</x:f>
        <x:v>0</x:v>
      </x:c>
      <x:c r="M13" s="7" t="n">
        <x:f>G13/F13</x:f>
        <x:v>0</x:v>
      </x:c>
      <x:c r="N13" s="7" t="n">
        <x:f>I13/H13</x:f>
        <x:v>0</x:v>
      </x:c>
      <x:c r="O13" s="7" t="n">
        <x:f>IF(I13=H13,1,0)</x:f>
        <x:v>0</x:v>
      </x:c>
    </x:row>
    <x:row r="14" ht="23" customHeight="1">
      <x:c r="A14" s="2" t="str">
        <x:v>F001</x:v>
      </x:c>
      <x:c r="B14" s="2" t="str">
        <x:v>rerank40</x:v>
      </x:c>
      <x:c r="C14" s="2" t="str">
        <x:v>fact</x:v>
      </x:c>
      <x:c r="D14" s="2" t="str">
        <x:v>zh</x:v>
      </x:c>
      <x:c r="E14" s="2"/>
      <x:c r="F14" s="2" t="n">
        <x:v>1</x:v>
      </x:c>
      <x:c r="G14" s="2" t="n">
        <x:v>0</x:v>
      </x:c>
      <x:c r="H14" s="2" t="n">
        <x:v>1</x:v>
      </x:c>
      <x:c r="I14" s="2" t="n">
        <x:v>0</x:v>
      </x:c>
      <x:c r="J14" s="7" t="n">
        <x:v>11.079736800002138</x:v>
      </x:c>
      <x:c r="K14" s="7" t="n">
        <x:f>IF(G14&gt;0,1,0)</x:f>
        <x:v>0</x:v>
      </x:c>
      <x:c r="L14" s="7" t="n">
        <x:f>IF(E14="",0,1/E14)</x:f>
        <x:v>0</x:v>
      </x:c>
      <x:c r="M14" s="7" t="n">
        <x:f>G14/F14</x:f>
        <x:v>0</x:v>
      </x:c>
      <x:c r="N14" s="7" t="n">
        <x:f>I14/H14</x:f>
        <x:v>0</x:v>
      </x:c>
      <x:c r="O14" s="7" t="n">
        <x:f>IF(I14=H14,1,0)</x:f>
        <x:v>0</x:v>
      </x:c>
    </x:row>
    <x:row r="15" ht="23" customHeight="1">
      <x:c r="A15" s="2" t="str">
        <x:v>F001</x:v>
      </x:c>
      <x:c r="B15" s="2" t="str">
        <x:v>vector</x:v>
      </x:c>
      <x:c r="C15" s="2" t="str">
        <x:v>fact</x:v>
      </x:c>
      <x:c r="D15" s="2" t="str">
        <x:v>zh</x:v>
      </x:c>
      <x:c r="E15" s="2"/>
      <x:c r="F15" s="2" t="n">
        <x:v>1</x:v>
      </x:c>
      <x:c r="G15" s="2" t="n">
        <x:v>0</x:v>
      </x:c>
      <x:c r="H15" s="2" t="n">
        <x:v>1</x:v>
      </x:c>
      <x:c r="I15" s="2" t="n">
        <x:v>0</x:v>
      </x:c>
      <x:c r="J15" s="7" t="n">
        <x:v>0.08052429999952437</x:v>
      </x:c>
      <x:c r="K15" s="7" t="n">
        <x:f>IF(G15&gt;0,1,0)</x:f>
        <x:v>0</x:v>
      </x:c>
      <x:c r="L15" s="7" t="n">
        <x:f>IF(E15="",0,1/E15)</x:f>
        <x:v>0</x:v>
      </x:c>
      <x:c r="M15" s="7" t="n">
        <x:f>G15/F15</x:f>
        <x:v>0</x:v>
      </x:c>
      <x:c r="N15" s="7" t="n">
        <x:f>I15/H15</x:f>
        <x:v>0</x:v>
      </x:c>
      <x:c r="O15" s="7" t="n">
        <x:f>IF(I15=H15,1,0)</x:f>
        <x:v>0</x:v>
      </x:c>
    </x:row>
    <x:row r="16" ht="23" customHeight="1">
      <x:c r="A16" s="2" t="str">
        <x:v>F001</x:v>
      </x:c>
      <x:c r="B16" s="2" t="str">
        <x:v>hybrid</x:v>
      </x:c>
      <x:c r="C16" s="2" t="str">
        <x:v>fact</x:v>
      </x:c>
      <x:c r="D16" s="2" t="str">
        <x:v>zh</x:v>
      </x:c>
      <x:c r="E16" s="2"/>
      <x:c r="F16" s="2" t="n">
        <x:v>1</x:v>
      </x:c>
      <x:c r="G16" s="2" t="n">
        <x:v>0</x:v>
      </x:c>
      <x:c r="H16" s="2" t="n">
        <x:v>1</x:v>
      </x:c>
      <x:c r="I16" s="2" t="n">
        <x:v>0</x:v>
      </x:c>
      <x:c r="J16" s="7" t="n">
        <x:v>0.158579800001462</x:v>
      </x:c>
      <x:c r="K16" s="7" t="n">
        <x:f>IF(G16&gt;0,1,0)</x:f>
        <x:v>0</x:v>
      </x:c>
      <x:c r="L16" s="7" t="n">
        <x:f>IF(E16="",0,1/E16)</x:f>
        <x:v>0</x:v>
      </x:c>
      <x:c r="M16" s="7" t="n">
        <x:f>G16/F16</x:f>
        <x:v>0</x:v>
      </x:c>
      <x:c r="N16" s="7" t="n">
        <x:f>I16/H16</x:f>
        <x:v>0</x:v>
      </x:c>
      <x:c r="O16" s="7" t="n">
        <x:f>IF(I16=H16,1,0)</x:f>
        <x:v>0</x:v>
      </x:c>
    </x:row>
    <x:row r="17" ht="23" customHeight="1">
      <x:c r="A17" s="2" t="str">
        <x:v>C007</x:v>
      </x:c>
      <x:c r="B17" s="2" t="str">
        <x:v>rerank10</x:v>
      </x:c>
      <x:c r="C17" s="2" t="str">
        <x:v>comparison</x:v>
      </x:c>
      <x:c r="D17" s="2" t="str">
        <x:v>en</x:v>
      </x:c>
      <x:c r="E17" s="2" t="n">
        <x:v>3</x:v>
      </x:c>
      <x:c r="F17" s="2" t="n">
        <x:v>2</x:v>
      </x:c>
      <x:c r="G17" s="2" t="n">
        <x:v>1</x:v>
      </x:c>
      <x:c r="H17" s="2" t="n">
        <x:v>2</x:v>
      </x:c>
      <x:c r="I17" s="2" t="n">
        <x:v>1</x:v>
      </x:c>
      <x:c r="J17" s="7" t="n">
        <x:v>2.4998269000025175</x:v>
      </x:c>
      <x:c r="K17" s="7" t="n">
        <x:f>IF(G17&gt;0,1,0)</x:f>
        <x:v>1</x:v>
      </x:c>
      <x:c r="L17" s="7" t="n">
        <x:f>IF(E17="",0,1/E17)</x:f>
        <x:v>0.3333333333333333</x:v>
      </x:c>
      <x:c r="M17" s="7" t="n">
        <x:f>G17/F17</x:f>
        <x:v>0.5</x:v>
      </x:c>
      <x:c r="N17" s="7" t="n">
        <x:f>I17/H17</x:f>
        <x:v>0.5</x:v>
      </x:c>
      <x:c r="O17" s="7" t="n">
        <x:f>IF(I17=H17,1,0)</x:f>
        <x:v>0</x:v>
      </x:c>
    </x:row>
    <x:row r="18" ht="23" customHeight="1">
      <x:c r="A18" s="2" t="str">
        <x:v>C007</x:v>
      </x:c>
      <x:c r="B18" s="2" t="str">
        <x:v>rerank40</x:v>
      </x:c>
      <x:c r="C18" s="2" t="str">
        <x:v>comparison</x:v>
      </x:c>
      <x:c r="D18" s="2" t="str">
        <x:v>en</x:v>
      </x:c>
      <x:c r="E18" s="2" t="n">
        <x:v>3</x:v>
      </x:c>
      <x:c r="F18" s="2" t="n">
        <x:v>2</x:v>
      </x:c>
      <x:c r="G18" s="2" t="n">
        <x:v>1</x:v>
      </x:c>
      <x:c r="H18" s="2" t="n">
        <x:v>2</x:v>
      </x:c>
      <x:c r="I18" s="2" t="n">
        <x:v>1</x:v>
      </x:c>
      <x:c r="J18" s="7" t="n">
        <x:v>9.497439800001303</x:v>
      </x:c>
      <x:c r="K18" s="7" t="n">
        <x:f>IF(G18&gt;0,1,0)</x:f>
        <x:v>1</x:v>
      </x:c>
      <x:c r="L18" s="7" t="n">
        <x:f>IF(E18="",0,1/E18)</x:f>
        <x:v>0.3333333333333333</x:v>
      </x:c>
      <x:c r="M18" s="7" t="n">
        <x:f>G18/F18</x:f>
        <x:v>0.5</x:v>
      </x:c>
      <x:c r="N18" s="7" t="n">
        <x:f>I18/H18</x:f>
        <x:v>0.5</x:v>
      </x:c>
      <x:c r="O18" s="7" t="n">
        <x:f>IF(I18=H18,1,0)</x:f>
        <x:v>0</x:v>
      </x:c>
    </x:row>
    <x:row r="19" ht="23" customHeight="1">
      <x:c r="A19" s="2" t="str">
        <x:v>C007</x:v>
      </x:c>
      <x:c r="B19" s="2" t="str">
        <x:v>vector</x:v>
      </x:c>
      <x:c r="C19" s="2" t="str">
        <x:v>comparison</x:v>
      </x:c>
      <x:c r="D19" s="2" t="str">
        <x:v>en</x:v>
      </x:c>
      <x:c r="E19" s="2" t="n">
        <x:v>1</x:v>
      </x:c>
      <x:c r="F19" s="2" t="n">
        <x:v>2</x:v>
      </x:c>
      <x:c r="G19" s="2" t="n">
        <x:v>1</x:v>
      </x:c>
      <x:c r="H19" s="2" t="n">
        <x:v>2</x:v>
      </x:c>
      <x:c r="I19" s="2" t="n">
        <x:v>1</x:v>
      </x:c>
      <x:c r="J19" s="7" t="n">
        <x:v>0.08678420000069309</x:v>
      </x:c>
      <x:c r="K19" s="7" t="n">
        <x:f>IF(G19&gt;0,1,0)</x:f>
        <x:v>1</x:v>
      </x:c>
      <x:c r="L19" s="7" t="n">
        <x:f>IF(E19="",0,1/E19)</x:f>
        <x:v>1</x:v>
      </x:c>
      <x:c r="M19" s="7" t="n">
        <x:f>G19/F19</x:f>
        <x:v>0.5</x:v>
      </x:c>
      <x:c r="N19" s="7" t="n">
        <x:f>I19/H19</x:f>
        <x:v>0.5</x:v>
      </x:c>
      <x:c r="O19" s="7" t="n">
        <x:f>IF(I19=H19,1,0)</x:f>
        <x:v>0</x:v>
      </x:c>
    </x:row>
    <x:row r="20" ht="23" customHeight="1">
      <x:c r="A20" s="2" t="str">
        <x:v>C007</x:v>
      </x:c>
      <x:c r="B20" s="2" t="str">
        <x:v>hybrid</x:v>
      </x:c>
      <x:c r="C20" s="2" t="str">
        <x:v>comparison</x:v>
      </x:c>
      <x:c r="D20" s="2" t="str">
        <x:v>en</x:v>
      </x:c>
      <x:c r="E20" s="2" t="n">
        <x:v>2</x:v>
      </x:c>
      <x:c r="F20" s="2" t="n">
        <x:v>2</x:v>
      </x:c>
      <x:c r="G20" s="2" t="n">
        <x:v>1</x:v>
      </x:c>
      <x:c r="H20" s="2" t="n">
        <x:v>2</x:v>
      </x:c>
      <x:c r="I20" s="2" t="n">
        <x:v>1</x:v>
      </x:c>
      <x:c r="J20" s="7" t="n">
        <x:v>0.156285699998989</x:v>
      </x:c>
      <x:c r="K20" s="7" t="n">
        <x:f>IF(G20&gt;0,1,0)</x:f>
        <x:v>1</x:v>
      </x:c>
      <x:c r="L20" s="7" t="n">
        <x:f>IF(E20="",0,1/E20)</x:f>
        <x:v>0.5</x:v>
      </x:c>
      <x:c r="M20" s="7" t="n">
        <x:f>G20/F20</x:f>
        <x:v>0.5</x:v>
      </x:c>
      <x:c r="N20" s="7" t="n">
        <x:f>I20/H20</x:f>
        <x:v>0.5</x:v>
      </x:c>
      <x:c r="O20" s="7" t="n">
        <x:f>IF(I20=H20,1,0)</x:f>
        <x:v>0</x:v>
      </x:c>
    </x:row>
    <x:row r="21" ht="23" customHeight="1">
      <x:c r="A21" s="2" t="str">
        <x:v>C007</x:v>
      </x:c>
      <x:c r="B21" s="2" t="str">
        <x:v>rerank20</x:v>
      </x:c>
      <x:c r="C21" s="2" t="str">
        <x:v>comparison</x:v>
      </x:c>
      <x:c r="D21" s="2" t="str">
        <x:v>en</x:v>
      </x:c>
      <x:c r="E21" s="2" t="n">
        <x:v>3</x:v>
      </x:c>
      <x:c r="F21" s="2" t="n">
        <x:v>2</x:v>
      </x:c>
      <x:c r="G21" s="2" t="n">
        <x:v>1</x:v>
      </x:c>
      <x:c r="H21" s="2" t="n">
        <x:v>2</x:v>
      </x:c>
      <x:c r="I21" s="2" t="n">
        <x:v>1</x:v>
      </x:c>
      <x:c r="J21" s="7" t="n">
        <x:v>4.772429499997088</x:v>
      </x:c>
      <x:c r="K21" s="7" t="n">
        <x:f>IF(G21&gt;0,1,0)</x:f>
        <x:v>1</x:v>
      </x:c>
      <x:c r="L21" s="7" t="n">
        <x:f>IF(E21="",0,1/E21)</x:f>
        <x:v>0.3333333333333333</x:v>
      </x:c>
      <x:c r="M21" s="7" t="n">
        <x:f>G21/F21</x:f>
        <x:v>0.5</x:v>
      </x:c>
      <x:c r="N21" s="7" t="n">
        <x:f>I21/H21</x:f>
        <x:v>0.5</x:v>
      </x:c>
      <x:c r="O21" s="7" t="n">
        <x:f>IF(I21=H21,1,0)</x:f>
        <x:v>0</x:v>
      </x:c>
    </x:row>
    <x:row r="22" ht="23" customHeight="1">
      <x:c r="A22" s="2" t="str">
        <x:v>F010</x:v>
      </x:c>
      <x:c r="B22" s="2" t="str">
        <x:v>rerank40</x:v>
      </x:c>
      <x:c r="C22" s="2" t="str">
        <x:v>fact</x:v>
      </x:c>
      <x:c r="D22" s="2" t="str">
        <x:v>en</x:v>
      </x:c>
      <x:c r="E22" s="2"/>
      <x:c r="F22" s="2" t="n">
        <x:v>1</x:v>
      </x:c>
      <x:c r="G22" s="2" t="n">
        <x:v>0</x:v>
      </x:c>
      <x:c r="H22" s="2" t="n">
        <x:v>1</x:v>
      </x:c>
      <x:c r="I22" s="2" t="n">
        <x:v>0</x:v>
      </x:c>
      <x:c r="J22" s="7" t="n">
        <x:v>11.322834900001908</x:v>
      </x:c>
      <x:c r="K22" s="7" t="n">
        <x:f>IF(G22&gt;0,1,0)</x:f>
        <x:v>0</x:v>
      </x:c>
      <x:c r="L22" s="7" t="n">
        <x:f>IF(E22="",0,1/E22)</x:f>
        <x:v>0</x:v>
      </x:c>
      <x:c r="M22" s="7" t="n">
        <x:f>G22/F22</x:f>
        <x:v>0</x:v>
      </x:c>
      <x:c r="N22" s="7" t="n">
        <x:f>I22/H22</x:f>
        <x:v>0</x:v>
      </x:c>
      <x:c r="O22" s="7" t="n">
        <x:f>IF(I22=H22,1,0)</x:f>
        <x:v>0</x:v>
      </x:c>
    </x:row>
    <x:row r="23" ht="23" customHeight="1">
      <x:c r="A23" s="2" t="str">
        <x:v>F010</x:v>
      </x:c>
      <x:c r="B23" s="2" t="str">
        <x:v>vector</x:v>
      </x:c>
      <x:c r="C23" s="2" t="str">
        <x:v>fact</x:v>
      </x:c>
      <x:c r="D23" s="2" t="str">
        <x:v>en</x:v>
      </x:c>
      <x:c r="E23" s="2"/>
      <x:c r="F23" s="2" t="n">
        <x:v>1</x:v>
      </x:c>
      <x:c r="G23" s="2" t="n">
        <x:v>0</x:v>
      </x:c>
      <x:c r="H23" s="2" t="n">
        <x:v>1</x:v>
      </x:c>
      <x:c r="I23" s="2" t="n">
        <x:v>0</x:v>
      </x:c>
      <x:c r="J23" s="7" t="n">
        <x:v>0.08745310000085738</x:v>
      </x:c>
      <x:c r="K23" s="7" t="n">
        <x:f>IF(G23&gt;0,1,0)</x:f>
        <x:v>0</x:v>
      </x:c>
      <x:c r="L23" s="7" t="n">
        <x:f>IF(E23="",0,1/E23)</x:f>
        <x:v>0</x:v>
      </x:c>
      <x:c r="M23" s="7" t="n">
        <x:f>G23/F23</x:f>
        <x:v>0</x:v>
      </x:c>
      <x:c r="N23" s="7" t="n">
        <x:f>I23/H23</x:f>
        <x:v>0</x:v>
      </x:c>
      <x:c r="O23" s="7" t="n">
        <x:f>IF(I23=H23,1,0)</x:f>
        <x:v>0</x:v>
      </x:c>
    </x:row>
    <x:row r="24" ht="23" customHeight="1">
      <x:c r="A24" s="2" t="str">
        <x:v>F010</x:v>
      </x:c>
      <x:c r="B24" s="2" t="str">
        <x:v>hybrid</x:v>
      </x:c>
      <x:c r="C24" s="2" t="str">
        <x:v>fact</x:v>
      </x:c>
      <x:c r="D24" s="2" t="str">
        <x:v>en</x:v>
      </x:c>
      <x:c r="E24" s="2"/>
      <x:c r="F24" s="2" t="n">
        <x:v>1</x:v>
      </x:c>
      <x:c r="G24" s="2" t="n">
        <x:v>0</x:v>
      </x:c>
      <x:c r="H24" s="2" t="n">
        <x:v>1</x:v>
      </x:c>
      <x:c r="I24" s="2" t="n">
        <x:v>0</x:v>
      </x:c>
      <x:c r="J24" s="7" t="n">
        <x:v>0.1637728000023344</x:v>
      </x:c>
      <x:c r="K24" s="7" t="n">
        <x:f>IF(G24&gt;0,1,0)</x:f>
        <x:v>0</x:v>
      </x:c>
      <x:c r="L24" s="7" t="n">
        <x:f>IF(E24="",0,1/E24)</x:f>
        <x:v>0</x:v>
      </x:c>
      <x:c r="M24" s="7" t="n">
        <x:f>G24/F24</x:f>
        <x:v>0</x:v>
      </x:c>
      <x:c r="N24" s="7" t="n">
        <x:f>I24/H24</x:f>
        <x:v>0</x:v>
      </x:c>
      <x:c r="O24" s="7" t="n">
        <x:f>IF(I24=H24,1,0)</x:f>
        <x:v>0</x:v>
      </x:c>
    </x:row>
    <x:row r="25" ht="23" customHeight="1">
      <x:c r="A25" s="2" t="str">
        <x:v>F010</x:v>
      </x:c>
      <x:c r="B25" s="2" t="str">
        <x:v>rerank20</x:v>
      </x:c>
      <x:c r="C25" s="2" t="str">
        <x:v>fact</x:v>
      </x:c>
      <x:c r="D25" s="2" t="str">
        <x:v>en</x:v>
      </x:c>
      <x:c r="E25" s="2"/>
      <x:c r="F25" s="2" t="n">
        <x:v>1</x:v>
      </x:c>
      <x:c r="G25" s="2" t="n">
        <x:v>0</x:v>
      </x:c>
      <x:c r="H25" s="2" t="n">
        <x:v>1</x:v>
      </x:c>
      <x:c r="I25" s="2" t="n">
        <x:v>0</x:v>
      </x:c>
      <x:c r="J25" s="7" t="n">
        <x:v>5.200290799999493</x:v>
      </x:c>
      <x:c r="K25" s="7" t="n">
        <x:f>IF(G25&gt;0,1,0)</x:f>
        <x:v>0</x:v>
      </x:c>
      <x:c r="L25" s="7" t="n">
        <x:f>IF(E25="",0,1/E25)</x:f>
        <x:v>0</x:v>
      </x:c>
      <x:c r="M25" s="7" t="n">
        <x:f>G25/F25</x:f>
        <x:v>0</x:v>
      </x:c>
      <x:c r="N25" s="7" t="n">
        <x:f>I25/H25</x:f>
        <x:v>0</x:v>
      </x:c>
      <x:c r="O25" s="7" t="n">
        <x:f>IF(I25=H25,1,0)</x:f>
        <x:v>0</x:v>
      </x:c>
    </x:row>
    <x:row r="26" ht="23" customHeight="1">
      <x:c r="A26" s="2" t="str">
        <x:v>F010</x:v>
      </x:c>
      <x:c r="B26" s="2" t="str">
        <x:v>rerank10</x:v>
      </x:c>
      <x:c r="C26" s="2" t="str">
        <x:v>fact</x:v>
      </x:c>
      <x:c r="D26" s="2" t="str">
        <x:v>en</x:v>
      </x:c>
      <x:c r="E26" s="2"/>
      <x:c r="F26" s="2" t="n">
        <x:v>1</x:v>
      </x:c>
      <x:c r="G26" s="2" t="n">
        <x:v>0</x:v>
      </x:c>
      <x:c r="H26" s="2" t="n">
        <x:v>1</x:v>
      </x:c>
      <x:c r="I26" s="2" t="n">
        <x:v>0</x:v>
      </x:c>
      <x:c r="J26" s="7" t="n">
        <x:v>2.4685512999967614</x:v>
      </x:c>
      <x:c r="K26" s="7" t="n">
        <x:f>IF(G26&gt;0,1,0)</x:f>
        <x:v>0</x:v>
      </x:c>
      <x:c r="L26" s="7" t="n">
        <x:f>IF(E26="",0,1/E26)</x:f>
        <x:v>0</x:v>
      </x:c>
      <x:c r="M26" s="7" t="n">
        <x:f>G26/F26</x:f>
        <x:v>0</x:v>
      </x:c>
      <x:c r="N26" s="7" t="n">
        <x:f>I26/H26</x:f>
        <x:v>0</x:v>
      </x:c>
      <x:c r="O26" s="7" t="n">
        <x:f>IF(I26=H26,1,0)</x:f>
        <x:v>0</x:v>
      </x:c>
    </x:row>
    <x:row r="27" ht="23" customHeight="1">
      <x:c r="A27" s="2" t="str">
        <x:v>R009</x:v>
      </x:c>
      <x:c r="B27" s="2" t="str">
        <x:v>vector</x:v>
      </x:c>
      <x:c r="C27" s="2" t="str">
        <x:v>reasoning</x:v>
      </x:c>
      <x:c r="D27" s="2" t="str">
        <x:v>en</x:v>
      </x:c>
      <x:c r="E27" s="2" t="n">
        <x:v>2</x:v>
      </x:c>
      <x:c r="F27" s="2" t="n">
        <x:v>1</x:v>
      </x:c>
      <x:c r="G27" s="2" t="n">
        <x:v>1</x:v>
      </x:c>
      <x:c r="H27" s="2" t="n">
        <x:v>1</x:v>
      </x:c>
      <x:c r="I27" s="2" t="n">
        <x:v>1</x:v>
      </x:c>
      <x:c r="J27" s="7" t="n">
        <x:v>0.09575330000006943</x:v>
      </x:c>
      <x:c r="K27" s="7" t="n">
        <x:f>IF(G27&gt;0,1,0)</x:f>
        <x:v>1</x:v>
      </x:c>
      <x:c r="L27" s="7" t="n">
        <x:f>IF(E27="",0,1/E27)</x:f>
        <x:v>0.5</x:v>
      </x:c>
      <x:c r="M27" s="7" t="n">
        <x:f>G27/F27</x:f>
        <x:v>1</x:v>
      </x:c>
      <x:c r="N27" s="7" t="n">
        <x:f>I27/H27</x:f>
        <x:v>1</x:v>
      </x:c>
      <x:c r="O27" s="7" t="n">
        <x:f>IF(I27=H27,1,0)</x:f>
        <x:v>1</x:v>
      </x:c>
    </x:row>
    <x:row r="28" ht="23" customHeight="1">
      <x:c r="A28" s="2" t="str">
        <x:v>R009</x:v>
      </x:c>
      <x:c r="B28" s="2" t="str">
        <x:v>hybrid</x:v>
      </x:c>
      <x:c r="C28" s="2" t="str">
        <x:v>reasoning</x:v>
      </x:c>
      <x:c r="D28" s="2" t="str">
        <x:v>en</x:v>
      </x:c>
      <x:c r="E28" s="2" t="n">
        <x:v>1</x:v>
      </x:c>
      <x:c r="F28" s="2" t="n">
        <x:v>1</x:v>
      </x:c>
      <x:c r="G28" s="2" t="n">
        <x:v>1</x:v>
      </x:c>
      <x:c r="H28" s="2" t="n">
        <x:v>1</x:v>
      </x:c>
      <x:c r="I28" s="2" t="n">
        <x:v>1</x:v>
      </x:c>
      <x:c r="J28" s="7" t="n">
        <x:v>0.15842190000330447</x:v>
      </x:c>
      <x:c r="K28" s="7" t="n">
        <x:f>IF(G28&gt;0,1,0)</x:f>
        <x:v>1</x:v>
      </x:c>
      <x:c r="L28" s="7" t="n">
        <x:f>IF(E28="",0,1/E28)</x:f>
        <x:v>1</x:v>
      </x:c>
      <x:c r="M28" s="7" t="n">
        <x:f>G28/F28</x:f>
        <x:v>1</x:v>
      </x:c>
      <x:c r="N28" s="7" t="n">
        <x:f>I28/H28</x:f>
        <x:v>1</x:v>
      </x:c>
      <x:c r="O28" s="7" t="n">
        <x:f>IF(I28=H28,1,0)</x:f>
        <x:v>1</x:v>
      </x:c>
    </x:row>
    <x:row r="29" ht="23" customHeight="1">
      <x:c r="A29" s="2" t="str">
        <x:v>R009</x:v>
      </x:c>
      <x:c r="B29" s="2" t="str">
        <x:v>rerank20</x:v>
      </x:c>
      <x:c r="C29" s="2" t="str">
        <x:v>reasoning</x:v>
      </x:c>
      <x:c r="D29" s="2" t="str">
        <x:v>en</x:v>
      </x:c>
      <x:c r="E29" s="2" t="n">
        <x:v>1</x:v>
      </x:c>
      <x:c r="F29" s="2" t="n">
        <x:v>1</x:v>
      </x:c>
      <x:c r="G29" s="2" t="n">
        <x:v>1</x:v>
      </x:c>
      <x:c r="H29" s="2" t="n">
        <x:v>1</x:v>
      </x:c>
      <x:c r="I29" s="2" t="n">
        <x:v>1</x:v>
      </x:c>
      <x:c r="J29" s="7" t="n">
        <x:v>5.041522399998939</x:v>
      </x:c>
      <x:c r="K29" s="7" t="n">
        <x:f>IF(G29&gt;0,1,0)</x:f>
        <x:v>1</x:v>
      </x:c>
      <x:c r="L29" s="7" t="n">
        <x:f>IF(E29="",0,1/E29)</x:f>
        <x:v>1</x:v>
      </x:c>
      <x:c r="M29" s="7" t="n">
        <x:f>G29/F29</x:f>
        <x:v>1</x:v>
      </x:c>
      <x:c r="N29" s="7" t="n">
        <x:f>I29/H29</x:f>
        <x:v>1</x:v>
      </x:c>
      <x:c r="O29" s="7" t="n">
        <x:f>IF(I29=H29,1,0)</x:f>
        <x:v>1</x:v>
      </x:c>
    </x:row>
    <x:row r="30" ht="23" customHeight="1">
      <x:c r="A30" s="2" t="str">
        <x:v>R009</x:v>
      </x:c>
      <x:c r="B30" s="2" t="str">
        <x:v>rerank10</x:v>
      </x:c>
      <x:c r="C30" s="2" t="str">
        <x:v>reasoning</x:v>
      </x:c>
      <x:c r="D30" s="2" t="str">
        <x:v>en</x:v>
      </x:c>
      <x:c r="E30" s="2" t="n">
        <x:v>1</x:v>
      </x:c>
      <x:c r="F30" s="2" t="n">
        <x:v>1</x:v>
      </x:c>
      <x:c r="G30" s="2" t="n">
        <x:v>1</x:v>
      </x:c>
      <x:c r="H30" s="2" t="n">
        <x:v>1</x:v>
      </x:c>
      <x:c r="I30" s="2" t="n">
        <x:v>1</x:v>
      </x:c>
      <x:c r="J30" s="7" t="n">
        <x:v>2.4015742000010505</x:v>
      </x:c>
      <x:c r="K30" s="7" t="n">
        <x:f>IF(G30&gt;0,1,0)</x:f>
        <x:v>1</x:v>
      </x:c>
      <x:c r="L30" s="7" t="n">
        <x:f>IF(E30="",0,1/E30)</x:f>
        <x:v>1</x:v>
      </x:c>
      <x:c r="M30" s="7" t="n">
        <x:f>G30/F30</x:f>
        <x:v>1</x:v>
      </x:c>
      <x:c r="N30" s="7" t="n">
        <x:f>I30/H30</x:f>
        <x:v>1</x:v>
      </x:c>
      <x:c r="O30" s="7" t="n">
        <x:f>IF(I30=H30,1,0)</x:f>
        <x:v>1</x:v>
      </x:c>
    </x:row>
    <x:row r="31" ht="23" customHeight="1">
      <x:c r="A31" s="2" t="str">
        <x:v>R009</x:v>
      </x:c>
      <x:c r="B31" s="2" t="str">
        <x:v>rerank40</x:v>
      </x:c>
      <x:c r="C31" s="2" t="str">
        <x:v>reasoning</x:v>
      </x:c>
      <x:c r="D31" s="2" t="str">
        <x:v>en</x:v>
      </x:c>
      <x:c r="E31" s="2" t="n">
        <x:v>1</x:v>
      </x:c>
      <x:c r="F31" s="2" t="n">
        <x:v>1</x:v>
      </x:c>
      <x:c r="G31" s="2" t="n">
        <x:v>1</x:v>
      </x:c>
      <x:c r="H31" s="2" t="n">
        <x:v>1</x:v>
      </x:c>
      <x:c r="I31" s="2" t="n">
        <x:v>1</x:v>
      </x:c>
      <x:c r="J31" s="7" t="n">
        <x:v>9.859065500000725</x:v>
      </x:c>
      <x:c r="K31" s="7" t="n">
        <x:f>IF(G31&gt;0,1,0)</x:f>
        <x:v>1</x:v>
      </x:c>
      <x:c r="L31" s="7" t="n">
        <x:f>IF(E31="",0,1/E31)</x:f>
        <x:v>1</x:v>
      </x:c>
      <x:c r="M31" s="7" t="n">
        <x:f>G31/F31</x:f>
        <x:v>1</x:v>
      </x:c>
      <x:c r="N31" s="7" t="n">
        <x:f>I31/H31</x:f>
        <x:v>1</x:v>
      </x:c>
      <x:c r="O31" s="7" t="n">
        <x:f>IF(I31=H31,1,0)</x:f>
        <x:v>1</x:v>
      </x:c>
    </x:row>
    <x:row r="32" ht="23" customHeight="1">
      <x:c r="A32" s="2" t="str">
        <x:v>S002</x:v>
      </x:c>
      <x:c r="B32" s="2" t="str">
        <x:v>hybrid</x:v>
      </x:c>
      <x:c r="C32" s="2" t="str">
        <x:v>synthesis</x:v>
      </x:c>
      <x:c r="D32" s="2" t="str">
        <x:v>en</x:v>
      </x:c>
      <x:c r="E32" s="2"/>
      <x:c r="F32" s="2" t="n">
        <x:v>3</x:v>
      </x:c>
      <x:c r="G32" s="2" t="n">
        <x:v>0</x:v>
      </x:c>
      <x:c r="H32" s="2" t="n">
        <x:v>3</x:v>
      </x:c>
      <x:c r="I32" s="2" t="n">
        <x:v>0</x:v>
      </x:c>
      <x:c r="J32" s="7" t="n">
        <x:v>0.1773947000001499</x:v>
      </x:c>
      <x:c r="K32" s="7" t="n">
        <x:f>IF(G32&gt;0,1,0)</x:f>
        <x:v>0</x:v>
      </x:c>
      <x:c r="L32" s="7" t="n">
        <x:f>IF(E32="",0,1/E32)</x:f>
        <x:v>0</x:v>
      </x:c>
      <x:c r="M32" s="7" t="n">
        <x:f>G32/F32</x:f>
        <x:v>0</x:v>
      </x:c>
      <x:c r="N32" s="7" t="n">
        <x:f>I32/H32</x:f>
        <x:v>0</x:v>
      </x:c>
      <x:c r="O32" s="7" t="n">
        <x:f>IF(I32=H32,1,0)</x:f>
        <x:v>0</x:v>
      </x:c>
    </x:row>
    <x:row r="33" ht="23" customHeight="1">
      <x:c r="A33" s="2" t="str">
        <x:v>S002</x:v>
      </x:c>
      <x:c r="B33" s="2" t="str">
        <x:v>rerank20</x:v>
      </x:c>
      <x:c r="C33" s="2" t="str">
        <x:v>synthesis</x:v>
      </x:c>
      <x:c r="D33" s="2" t="str">
        <x:v>en</x:v>
      </x:c>
      <x:c r="E33" s="2" t="n">
        <x:v>2</x:v>
      </x:c>
      <x:c r="F33" s="2" t="n">
        <x:v>3</x:v>
      </x:c>
      <x:c r="G33" s="2" t="n">
        <x:v>1</x:v>
      </x:c>
      <x:c r="H33" s="2" t="n">
        <x:v>3</x:v>
      </x:c>
      <x:c r="I33" s="2" t="n">
        <x:v>1</x:v>
      </x:c>
      <x:c r="J33" s="7" t="n">
        <x:v>5.7718680999969365</x:v>
      </x:c>
      <x:c r="K33" s="7" t="n">
        <x:f>IF(G33&gt;0,1,0)</x:f>
        <x:v>1</x:v>
      </x:c>
      <x:c r="L33" s="7" t="n">
        <x:f>IF(E33="",0,1/E33)</x:f>
        <x:v>0.5</x:v>
      </x:c>
      <x:c r="M33" s="7" t="n">
        <x:f>G33/F33</x:f>
        <x:v>0.3333333333333333</x:v>
      </x:c>
      <x:c r="N33" s="7" t="n">
        <x:f>I33/H33</x:f>
        <x:v>0.3333333333333333</x:v>
      </x:c>
      <x:c r="O33" s="7" t="n">
        <x:f>IF(I33=H33,1,0)</x:f>
        <x:v>0</x:v>
      </x:c>
    </x:row>
    <x:row r="34" ht="23" customHeight="1">
      <x:c r="A34" s="2" t="str">
        <x:v>S002</x:v>
      </x:c>
      <x:c r="B34" s="2" t="str">
        <x:v>rerank10</x:v>
      </x:c>
      <x:c r="C34" s="2" t="str">
        <x:v>synthesis</x:v>
      </x:c>
      <x:c r="D34" s="2" t="str">
        <x:v>en</x:v>
      </x:c>
      <x:c r="E34" s="2" t="n">
        <x:v>1</x:v>
      </x:c>
      <x:c r="F34" s="2" t="n">
        <x:v>3</x:v>
      </x:c>
      <x:c r="G34" s="2" t="n">
        <x:v>1</x:v>
      </x:c>
      <x:c r="H34" s="2" t="n">
        <x:v>3</x:v>
      </x:c>
      <x:c r="I34" s="2" t="n">
        <x:v>1</x:v>
      </x:c>
      <x:c r="J34" s="7" t="n">
        <x:v>2.55924529999902</x:v>
      </x:c>
      <x:c r="K34" s="7" t="n">
        <x:f>IF(G34&gt;0,1,0)</x:f>
        <x:v>1</x:v>
      </x:c>
      <x:c r="L34" s="7" t="n">
        <x:f>IF(E34="",0,1/E34)</x:f>
        <x:v>1</x:v>
      </x:c>
      <x:c r="M34" s="7" t="n">
        <x:f>G34/F34</x:f>
        <x:v>0.3333333333333333</x:v>
      </x:c>
      <x:c r="N34" s="7" t="n">
        <x:f>I34/H34</x:f>
        <x:v>0.3333333333333333</x:v>
      </x:c>
      <x:c r="O34" s="7" t="n">
        <x:f>IF(I34=H34,1,0)</x:f>
        <x:v>0</x:v>
      </x:c>
    </x:row>
    <x:row r="35" ht="23" customHeight="1">
      <x:c r="A35" s="2" t="str">
        <x:v>S002</x:v>
      </x:c>
      <x:c r="B35" s="2" t="str">
        <x:v>rerank40</x:v>
      </x:c>
      <x:c r="C35" s="2" t="str">
        <x:v>synthesis</x:v>
      </x:c>
      <x:c r="D35" s="2" t="str">
        <x:v>en</x:v>
      </x:c>
      <x:c r="E35" s="2" t="n">
        <x:v>5</x:v>
      </x:c>
      <x:c r="F35" s="2" t="n">
        <x:v>3</x:v>
      </x:c>
      <x:c r="G35" s="2" t="n">
        <x:v>1</x:v>
      </x:c>
      <x:c r="H35" s="2" t="n">
        <x:v>3</x:v>
      </x:c>
      <x:c r="I35" s="2" t="n">
        <x:v>1</x:v>
      </x:c>
      <x:c r="J35" s="7" t="n">
        <x:v>10.460966099999496</x:v>
      </x:c>
      <x:c r="K35" s="7" t="n">
        <x:f>IF(G35&gt;0,1,0)</x:f>
        <x:v>1</x:v>
      </x:c>
      <x:c r="L35" s="7" t="n">
        <x:f>IF(E35="",0,1/E35)</x:f>
        <x:v>0.2</x:v>
      </x:c>
      <x:c r="M35" s="7" t="n">
        <x:f>G35/F35</x:f>
        <x:v>0.3333333333333333</x:v>
      </x:c>
      <x:c r="N35" s="7" t="n">
        <x:f>I35/H35</x:f>
        <x:v>0.3333333333333333</x:v>
      </x:c>
      <x:c r="O35" s="7" t="n">
        <x:f>IF(I35=H35,1,0)</x:f>
        <x:v>0</x:v>
      </x:c>
    </x:row>
    <x:row r="36" ht="23" customHeight="1">
      <x:c r="A36" s="2" t="str">
        <x:v>S002</x:v>
      </x:c>
      <x:c r="B36" s="2" t="str">
        <x:v>vector</x:v>
      </x:c>
      <x:c r="C36" s="2" t="str">
        <x:v>synthesis</x:v>
      </x:c>
      <x:c r="D36" s="2" t="str">
        <x:v>en</x:v>
      </x:c>
      <x:c r="E36" s="2"/>
      <x:c r="F36" s="2" t="n">
        <x:v>3</x:v>
      </x:c>
      <x:c r="G36" s="2" t="n">
        <x:v>0</x:v>
      </x:c>
      <x:c r="H36" s="2" t="n">
        <x:v>3</x:v>
      </x:c>
      <x:c r="I36" s="2" t="n">
        <x:v>0</x:v>
      </x:c>
      <x:c r="J36" s="7" t="n">
        <x:v>0.08672970000043279</x:v>
      </x:c>
      <x:c r="K36" s="7" t="n">
        <x:f>IF(G36&gt;0,1,0)</x:f>
        <x:v>0</x:v>
      </x:c>
      <x:c r="L36" s="7" t="n">
        <x:f>IF(E36="",0,1/E36)</x:f>
        <x:v>0</x:v>
      </x:c>
      <x:c r="M36" s="7" t="n">
        <x:f>G36/F36</x:f>
        <x:v>0</x:v>
      </x:c>
      <x:c r="N36" s="7" t="n">
        <x:f>I36/H36</x:f>
        <x:v>0</x:v>
      </x:c>
      <x:c r="O36" s="7" t="n">
        <x:f>IF(I36=H36,1,0)</x:f>
        <x:v>0</x:v>
      </x:c>
    </x:row>
    <x:row r="37" ht="23" customHeight="1">
      <x:c r="A37" s="2" t="str">
        <x:v>C004</x:v>
      </x:c>
      <x:c r="B37" s="2" t="str">
        <x:v>rerank20</x:v>
      </x:c>
      <x:c r="C37" s="2" t="str">
        <x:v>comparison</x:v>
      </x:c>
      <x:c r="D37" s="2" t="str">
        <x:v>zh</x:v>
      </x:c>
      <x:c r="E37" s="2" t="n">
        <x:v>2</x:v>
      </x:c>
      <x:c r="F37" s="2" t="n">
        <x:v>3</x:v>
      </x:c>
      <x:c r="G37" s="2" t="n">
        <x:v>1</x:v>
      </x:c>
      <x:c r="H37" s="2" t="n">
        <x:v>2</x:v>
      </x:c>
      <x:c r="I37" s="2" t="n">
        <x:v>1</x:v>
      </x:c>
      <x:c r="J37" s="7" t="n">
        <x:v>5.168606800001726</x:v>
      </x:c>
      <x:c r="K37" s="7" t="n">
        <x:f>IF(G37&gt;0,1,0)</x:f>
        <x:v>1</x:v>
      </x:c>
      <x:c r="L37" s="7" t="n">
        <x:f>IF(E37="",0,1/E37)</x:f>
        <x:v>0.5</x:v>
      </x:c>
      <x:c r="M37" s="7" t="n">
        <x:f>G37/F37</x:f>
        <x:v>0.3333333333333333</x:v>
      </x:c>
      <x:c r="N37" s="7" t="n">
        <x:f>I37/H37</x:f>
        <x:v>0.5</x:v>
      </x:c>
      <x:c r="O37" s="7" t="n">
        <x:f>IF(I37=H37,1,0)</x:f>
        <x:v>0</x:v>
      </x:c>
    </x:row>
    <x:row r="38" ht="23" customHeight="1">
      <x:c r="A38" s="2" t="str">
        <x:v>C004</x:v>
      </x:c>
      <x:c r="B38" s="2" t="str">
        <x:v>rerank10</x:v>
      </x:c>
      <x:c r="C38" s="2" t="str">
        <x:v>comparison</x:v>
      </x:c>
      <x:c r="D38" s="2" t="str">
        <x:v>zh</x:v>
      </x:c>
      <x:c r="E38" s="2"/>
      <x:c r="F38" s="2" t="n">
        <x:v>3</x:v>
      </x:c>
      <x:c r="G38" s="2" t="n">
        <x:v>0</x:v>
      </x:c>
      <x:c r="H38" s="2" t="n">
        <x:v>2</x:v>
      </x:c>
      <x:c r="I38" s="2" t="n">
        <x:v>0</x:v>
      </x:c>
      <x:c r="J38" s="7" t="n">
        <x:v>2.5075418000014906</x:v>
      </x:c>
      <x:c r="K38" s="7" t="n">
        <x:f>IF(G38&gt;0,1,0)</x:f>
        <x:v>0</x:v>
      </x:c>
      <x:c r="L38" s="7" t="n">
        <x:f>IF(E38="",0,1/E38)</x:f>
        <x:v>0</x:v>
      </x:c>
      <x:c r="M38" s="7" t="n">
        <x:f>G38/F38</x:f>
        <x:v>0</x:v>
      </x:c>
      <x:c r="N38" s="7" t="n">
        <x:f>I38/H38</x:f>
        <x:v>0</x:v>
      </x:c>
      <x:c r="O38" s="7" t="n">
        <x:f>IF(I38=H38,1,0)</x:f>
        <x:v>0</x:v>
      </x:c>
    </x:row>
    <x:row r="39" ht="23" customHeight="1">
      <x:c r="A39" s="2" t="str">
        <x:v>C004</x:v>
      </x:c>
      <x:c r="B39" s="2" t="str">
        <x:v>rerank40</x:v>
      </x:c>
      <x:c r="C39" s="2" t="str">
        <x:v>comparison</x:v>
      </x:c>
      <x:c r="D39" s="2" t="str">
        <x:v>zh</x:v>
      </x:c>
      <x:c r="E39" s="2"/>
      <x:c r="F39" s="2" t="n">
        <x:v>3</x:v>
      </x:c>
      <x:c r="G39" s="2" t="n">
        <x:v>0</x:v>
      </x:c>
      <x:c r="H39" s="2" t="n">
        <x:v>2</x:v>
      </x:c>
      <x:c r="I39" s="2" t="n">
        <x:v>0</x:v>
      </x:c>
      <x:c r="J39" s="7" t="n">
        <x:v>11.473963899999944</x:v>
      </x:c>
      <x:c r="K39" s="7" t="n">
        <x:f>IF(G39&gt;0,1,0)</x:f>
        <x:v>0</x:v>
      </x:c>
      <x:c r="L39" s="7" t="n">
        <x:f>IF(E39="",0,1/E39)</x:f>
        <x:v>0</x:v>
      </x:c>
      <x:c r="M39" s="7" t="n">
        <x:f>G39/F39</x:f>
        <x:v>0</x:v>
      </x:c>
      <x:c r="N39" s="7" t="n">
        <x:f>I39/H39</x:f>
        <x:v>0</x:v>
      </x:c>
      <x:c r="O39" s="7" t="n">
        <x:f>IF(I39=H39,1,0)</x:f>
        <x:v>0</x:v>
      </x:c>
    </x:row>
    <x:row r="40" ht="23" customHeight="1">
      <x:c r="A40" s="2" t="str">
        <x:v>C004</x:v>
      </x:c>
      <x:c r="B40" s="2" t="str">
        <x:v>vector</x:v>
      </x:c>
      <x:c r="C40" s="2" t="str">
        <x:v>comparison</x:v>
      </x:c>
      <x:c r="D40" s="2" t="str">
        <x:v>zh</x:v>
      </x:c>
      <x:c r="E40" s="2"/>
      <x:c r="F40" s="2" t="n">
        <x:v>3</x:v>
      </x:c>
      <x:c r="G40" s="2" t="n">
        <x:v>0</x:v>
      </x:c>
      <x:c r="H40" s="2" t="n">
        <x:v>2</x:v>
      </x:c>
      <x:c r="I40" s="2" t="n">
        <x:v>0</x:v>
      </x:c>
      <x:c r="J40" s="7" t="n">
        <x:v>0.0849820000003092</x:v>
      </x:c>
      <x:c r="K40" s="7" t="n">
        <x:f>IF(G40&gt;0,1,0)</x:f>
        <x:v>0</x:v>
      </x:c>
      <x:c r="L40" s="7" t="n">
        <x:f>IF(E40="",0,1/E40)</x:f>
        <x:v>0</x:v>
      </x:c>
      <x:c r="M40" s="7" t="n">
        <x:f>G40/F40</x:f>
        <x:v>0</x:v>
      </x:c>
      <x:c r="N40" s="7" t="n">
        <x:f>I40/H40</x:f>
        <x:v>0</x:v>
      </x:c>
      <x:c r="O40" s="7" t="n">
        <x:f>IF(I40=H40,1,0)</x:f>
        <x:v>0</x:v>
      </x:c>
    </x:row>
    <x:row r="41" ht="23" customHeight="1">
      <x:c r="A41" s="2" t="str">
        <x:v>C004</x:v>
      </x:c>
      <x:c r="B41" s="2" t="str">
        <x:v>hybrid</x:v>
      </x:c>
      <x:c r="C41" s="2" t="str">
        <x:v>comparison</x:v>
      </x:c>
      <x:c r="D41" s="2" t="str">
        <x:v>zh</x:v>
      </x:c>
      <x:c r="E41" s="2" t="n">
        <x:v>5</x:v>
      </x:c>
      <x:c r="F41" s="2" t="n">
        <x:v>3</x:v>
      </x:c>
      <x:c r="G41" s="2" t="n">
        <x:v>1</x:v>
      </x:c>
      <x:c r="H41" s="2" t="n">
        <x:v>2</x:v>
      </x:c>
      <x:c r="I41" s="2" t="n">
        <x:v>1</x:v>
      </x:c>
      <x:c r="J41" s="7" t="n">
        <x:v>0.16595600000073318</x:v>
      </x:c>
      <x:c r="K41" s="7" t="n">
        <x:f>IF(G41&gt;0,1,0)</x:f>
        <x:v>1</x:v>
      </x:c>
      <x:c r="L41" s="7" t="n">
        <x:f>IF(E41="",0,1/E41)</x:f>
        <x:v>0.2</x:v>
      </x:c>
      <x:c r="M41" s="7" t="n">
        <x:f>G41/F41</x:f>
        <x:v>0.3333333333333333</x:v>
      </x:c>
      <x:c r="N41" s="7" t="n">
        <x:f>I41/H41</x:f>
        <x:v>0.5</x:v>
      </x:c>
      <x:c r="O41" s="7" t="n">
        <x:f>IF(I41=H41,1,0)</x:f>
        <x:v>0</x:v>
      </x:c>
    </x:row>
    <x:row r="42" ht="23" customHeight="1">
      <x:c r="A42" s="2" t="str">
        <x:v>S004</x:v>
      </x:c>
      <x:c r="B42" s="2" t="str">
        <x:v>rerank10</x:v>
      </x:c>
      <x:c r="C42" s="2" t="str">
        <x:v>synthesis</x:v>
      </x:c>
      <x:c r="D42" s="2" t="str">
        <x:v>en</x:v>
      </x:c>
      <x:c r="E42" s="2" t="n">
        <x:v>4</x:v>
      </x:c>
      <x:c r="F42" s="2" t="n">
        <x:v>3</x:v>
      </x:c>
      <x:c r="G42" s="2" t="n">
        <x:v>1</x:v>
      </x:c>
      <x:c r="H42" s="2" t="n">
        <x:v>3</x:v>
      </x:c>
      <x:c r="I42" s="2" t="n">
        <x:v>1</x:v>
      </x:c>
      <x:c r="J42" s="7" t="n">
        <x:v>2.561376099998597</x:v>
      </x:c>
      <x:c r="K42" s="7" t="n">
        <x:f>IF(G42&gt;0,1,0)</x:f>
        <x:v>1</x:v>
      </x:c>
      <x:c r="L42" s="7" t="n">
        <x:f>IF(E42="",0,1/E42)</x:f>
        <x:v>0.25</x:v>
      </x:c>
      <x:c r="M42" s="7" t="n">
        <x:f>G42/F42</x:f>
        <x:v>0.3333333333333333</x:v>
      </x:c>
      <x:c r="N42" s="7" t="n">
        <x:f>I42/H42</x:f>
        <x:v>0.3333333333333333</x:v>
      </x:c>
      <x:c r="O42" s="7" t="n">
        <x:f>IF(I42=H42,1,0)</x:f>
        <x:v>0</x:v>
      </x:c>
    </x:row>
    <x:row r="43" ht="23" customHeight="1">
      <x:c r="A43" s="2" t="str">
        <x:v>S004</x:v>
      </x:c>
      <x:c r="B43" s="2" t="str">
        <x:v>rerank40</x:v>
      </x:c>
      <x:c r="C43" s="2" t="str">
        <x:v>synthesis</x:v>
      </x:c>
      <x:c r="D43" s="2" t="str">
        <x:v>en</x:v>
      </x:c>
      <x:c r="E43" s="2" t="n">
        <x:v>4</x:v>
      </x:c>
      <x:c r="F43" s="2" t="n">
        <x:v>3</x:v>
      </x:c>
      <x:c r="G43" s="2" t="n">
        <x:v>1</x:v>
      </x:c>
      <x:c r="H43" s="2" t="n">
        <x:v>3</x:v>
      </x:c>
      <x:c r="I43" s="2" t="n">
        <x:v>1</x:v>
      </x:c>
      <x:c r="J43" s="7" t="n">
        <x:v>13.85603489999994</x:v>
      </x:c>
      <x:c r="K43" s="7" t="n">
        <x:f>IF(G43&gt;0,1,0)</x:f>
        <x:v>1</x:v>
      </x:c>
      <x:c r="L43" s="7" t="n">
        <x:f>IF(E43="",0,1/E43)</x:f>
        <x:v>0.25</x:v>
      </x:c>
      <x:c r="M43" s="7" t="n">
        <x:f>G43/F43</x:f>
        <x:v>0.3333333333333333</x:v>
      </x:c>
      <x:c r="N43" s="7" t="n">
        <x:f>I43/H43</x:f>
        <x:v>0.3333333333333333</x:v>
      </x:c>
      <x:c r="O43" s="7" t="n">
        <x:f>IF(I43=H43,1,0)</x:f>
        <x:v>0</x:v>
      </x:c>
    </x:row>
    <x:row r="44" ht="23" customHeight="1">
      <x:c r="A44" s="2" t="str">
        <x:v>S004</x:v>
      </x:c>
      <x:c r="B44" s="2" t="str">
        <x:v>vector</x:v>
      </x:c>
      <x:c r="C44" s="2" t="str">
        <x:v>synthesis</x:v>
      </x:c>
      <x:c r="D44" s="2" t="str">
        <x:v>en</x:v>
      </x:c>
      <x:c r="E44" s="2" t="n">
        <x:v>1</x:v>
      </x:c>
      <x:c r="F44" s="2" t="n">
        <x:v>3</x:v>
      </x:c>
      <x:c r="G44" s="2" t="n">
        <x:v>1</x:v>
      </x:c>
      <x:c r="H44" s="2" t="n">
        <x:v>3</x:v>
      </x:c>
      <x:c r="I44" s="2" t="n">
        <x:v>1</x:v>
      </x:c>
      <x:c r="J44" s="7" t="n">
        <x:v>0.09158999999999651</x:v>
      </x:c>
      <x:c r="K44" s="7" t="n">
        <x:f>IF(G44&gt;0,1,0)</x:f>
        <x:v>1</x:v>
      </x:c>
      <x:c r="L44" s="7" t="n">
        <x:f>IF(E44="",0,1/E44)</x:f>
        <x:v>1</x:v>
      </x:c>
      <x:c r="M44" s="7" t="n">
        <x:f>G44/F44</x:f>
        <x:v>0.3333333333333333</x:v>
      </x:c>
      <x:c r="N44" s="7" t="n">
        <x:f>I44/H44</x:f>
        <x:v>0.3333333333333333</x:v>
      </x:c>
      <x:c r="O44" s="7" t="n">
        <x:f>IF(I44=H44,1,0)</x:f>
        <x:v>0</x:v>
      </x:c>
    </x:row>
    <x:row r="45" ht="23" customHeight="1">
      <x:c r="A45" s="2" t="str">
        <x:v>S004</x:v>
      </x:c>
      <x:c r="B45" s="2" t="str">
        <x:v>hybrid</x:v>
      </x:c>
      <x:c r="C45" s="2" t="str">
        <x:v>synthesis</x:v>
      </x:c>
      <x:c r="D45" s="2" t="str">
        <x:v>en</x:v>
      </x:c>
      <x:c r="E45" s="2" t="n">
        <x:v>2</x:v>
      </x:c>
      <x:c r="F45" s="2" t="n">
        <x:v>3</x:v>
      </x:c>
      <x:c r="G45" s="2" t="n">
        <x:v>1</x:v>
      </x:c>
      <x:c r="H45" s="2" t="n">
        <x:v>3</x:v>
      </x:c>
      <x:c r="I45" s="2" t="n">
        <x:v>1</x:v>
      </x:c>
      <x:c r="J45" s="7" t="n">
        <x:v>0.17391330000100425</x:v>
      </x:c>
      <x:c r="K45" s="7" t="n">
        <x:f>IF(G45&gt;0,1,0)</x:f>
        <x:v>1</x:v>
      </x:c>
      <x:c r="L45" s="7" t="n">
        <x:f>IF(E45="",0,1/E45)</x:f>
        <x:v>0.5</x:v>
      </x:c>
      <x:c r="M45" s="7" t="n">
        <x:f>G45/F45</x:f>
        <x:v>0.3333333333333333</x:v>
      </x:c>
      <x:c r="N45" s="7" t="n">
        <x:f>I45/H45</x:f>
        <x:v>0.3333333333333333</x:v>
      </x:c>
      <x:c r="O45" s="7" t="n">
        <x:f>IF(I45=H45,1,0)</x:f>
        <x:v>0</x:v>
      </x:c>
    </x:row>
    <x:row r="46" ht="23" customHeight="1">
      <x:c r="A46" s="2" t="str">
        <x:v>S004</x:v>
      </x:c>
      <x:c r="B46" s="2" t="str">
        <x:v>rerank20</x:v>
      </x:c>
      <x:c r="C46" s="2" t="str">
        <x:v>synthesis</x:v>
      </x:c>
      <x:c r="D46" s="2" t="str">
        <x:v>en</x:v>
      </x:c>
      <x:c r="E46" s="2" t="n">
        <x:v>4</x:v>
      </x:c>
      <x:c r="F46" s="2" t="n">
        <x:v>3</x:v>
      </x:c>
      <x:c r="G46" s="2" t="n">
        <x:v>1</x:v>
      </x:c>
      <x:c r="H46" s="2" t="n">
        <x:v>3</x:v>
      </x:c>
      <x:c r="I46" s="2" t="n">
        <x:v>1</x:v>
      </x:c>
      <x:c r="J46" s="7" t="n">
        <x:v>4.847511799998756</x:v>
      </x:c>
      <x:c r="K46" s="7" t="n">
        <x:f>IF(G46&gt;0,1,0)</x:f>
        <x:v>1</x:v>
      </x:c>
      <x:c r="L46" s="7" t="n">
        <x:f>IF(E46="",0,1/E46)</x:f>
        <x:v>0.25</x:v>
      </x:c>
      <x:c r="M46" s="7" t="n">
        <x:f>G46/F46</x:f>
        <x:v>0.3333333333333333</x:v>
      </x:c>
      <x:c r="N46" s="7" t="n">
        <x:f>I46/H46</x:f>
        <x:v>0.3333333333333333</x:v>
      </x:c>
      <x:c r="O46" s="7" t="n">
        <x:f>IF(I46=H46,1,0)</x:f>
        <x:v>0</x:v>
      </x:c>
    </x:row>
    <x:row r="47" ht="23" customHeight="1">
      <x:c r="A47" s="2" t="str">
        <x:v>F007</x:v>
      </x:c>
      <x:c r="B47" s="2" t="str">
        <x:v>rerank40</x:v>
      </x:c>
      <x:c r="C47" s="2" t="str">
        <x:v>fact</x:v>
      </x:c>
      <x:c r="D47" s="2" t="str">
        <x:v>zh</x:v>
      </x:c>
      <x:c r="E47" s="2" t="n">
        <x:v>1</x:v>
      </x:c>
      <x:c r="F47" s="2" t="n">
        <x:v>1</x:v>
      </x:c>
      <x:c r="G47" s="2" t="n">
        <x:v>1</x:v>
      </x:c>
      <x:c r="H47" s="2" t="n">
        <x:v>1</x:v>
      </x:c>
      <x:c r="I47" s="2" t="n">
        <x:v>1</x:v>
      </x:c>
      <x:c r="J47" s="7" t="n">
        <x:v>15.770679099998233</x:v>
      </x:c>
      <x:c r="K47" s="7" t="n">
        <x:f>IF(G47&gt;0,1,0)</x:f>
        <x:v>1</x:v>
      </x:c>
      <x:c r="L47" s="7" t="n">
        <x:f>IF(E47="",0,1/E47)</x:f>
        <x:v>1</x:v>
      </x:c>
      <x:c r="M47" s="7" t="n">
        <x:f>G47/F47</x:f>
        <x:v>1</x:v>
      </x:c>
      <x:c r="N47" s="7" t="n">
        <x:f>I47/H47</x:f>
        <x:v>1</x:v>
      </x:c>
      <x:c r="O47" s="7" t="n">
        <x:f>IF(I47=H47,1,0)</x:f>
        <x:v>1</x:v>
      </x:c>
    </x:row>
    <x:row r="48" ht="23" customHeight="1">
      <x:c r="A48" s="2" t="str">
        <x:v>F007</x:v>
      </x:c>
      <x:c r="B48" s="2" t="str">
        <x:v>vector</x:v>
      </x:c>
      <x:c r="C48" s="2" t="str">
        <x:v>fact</x:v>
      </x:c>
      <x:c r="D48" s="2" t="str">
        <x:v>zh</x:v>
      </x:c>
      <x:c r="E48" s="2" t="n">
        <x:v>4</x:v>
      </x:c>
      <x:c r="F48" s="2" t="n">
        <x:v>1</x:v>
      </x:c>
      <x:c r="G48" s="2" t="n">
        <x:v>1</x:v>
      </x:c>
      <x:c r="H48" s="2" t="n">
        <x:v>1</x:v>
      </x:c>
      <x:c r="I48" s="2" t="n">
        <x:v>1</x:v>
      </x:c>
      <x:c r="J48" s="7" t="n">
        <x:v>0.07754100000238395</x:v>
      </x:c>
      <x:c r="K48" s="7" t="n">
        <x:f>IF(G48&gt;0,1,0)</x:f>
        <x:v>1</x:v>
      </x:c>
      <x:c r="L48" s="7" t="n">
        <x:f>IF(E48="",0,1/E48)</x:f>
        <x:v>0.25</x:v>
      </x:c>
      <x:c r="M48" s="7" t="n">
        <x:f>G48/F48</x:f>
        <x:v>1</x:v>
      </x:c>
      <x:c r="N48" s="7" t="n">
        <x:f>I48/H48</x:f>
        <x:v>1</x:v>
      </x:c>
      <x:c r="O48" s="7" t="n">
        <x:f>IF(I48=H48,1,0)</x:f>
        <x:v>1</x:v>
      </x:c>
    </x:row>
    <x:row r="49" ht="23" customHeight="1">
      <x:c r="A49" s="2" t="str">
        <x:v>F007</x:v>
      </x:c>
      <x:c r="B49" s="2" t="str">
        <x:v>hybrid</x:v>
      </x:c>
      <x:c r="C49" s="2" t="str">
        <x:v>fact</x:v>
      </x:c>
      <x:c r="D49" s="2" t="str">
        <x:v>zh</x:v>
      </x:c>
      <x:c r="E49" s="2" t="n">
        <x:v>2</x:v>
      </x:c>
      <x:c r="F49" s="2" t="n">
        <x:v>1</x:v>
      </x:c>
      <x:c r="G49" s="2" t="n">
        <x:v>1</x:v>
      </x:c>
      <x:c r="H49" s="2" t="n">
        <x:v>1</x:v>
      </x:c>
      <x:c r="I49" s="2" t="n">
        <x:v>1</x:v>
      </x:c>
      <x:c r="J49" s="7" t="n">
        <x:v>0.3149717000014789</x:v>
      </x:c>
      <x:c r="K49" s="7" t="n">
        <x:f>IF(G49&gt;0,1,0)</x:f>
        <x:v>1</x:v>
      </x:c>
      <x:c r="L49" s="7" t="n">
        <x:f>IF(E49="",0,1/E49)</x:f>
        <x:v>0.5</x:v>
      </x:c>
      <x:c r="M49" s="7" t="n">
        <x:f>G49/F49</x:f>
        <x:v>1</x:v>
      </x:c>
      <x:c r="N49" s="7" t="n">
        <x:f>I49/H49</x:f>
        <x:v>1</x:v>
      </x:c>
      <x:c r="O49" s="7" t="n">
        <x:f>IF(I49=H49,1,0)</x:f>
        <x:v>1</x:v>
      </x:c>
    </x:row>
    <x:row r="50" ht="23" customHeight="1">
      <x:c r="A50" s="2" t="str">
        <x:v>F007</x:v>
      </x:c>
      <x:c r="B50" s="2" t="str">
        <x:v>rerank20</x:v>
      </x:c>
      <x:c r="C50" s="2" t="str">
        <x:v>fact</x:v>
      </x:c>
      <x:c r="D50" s="2" t="str">
        <x:v>zh</x:v>
      </x:c>
      <x:c r="E50" s="2" t="n">
        <x:v>1</x:v>
      </x:c>
      <x:c r="F50" s="2" t="n">
        <x:v>1</x:v>
      </x:c>
      <x:c r="G50" s="2" t="n">
        <x:v>1</x:v>
      </x:c>
      <x:c r="H50" s="2" t="n">
        <x:v>1</x:v>
      </x:c>
      <x:c r="I50" s="2" t="n">
        <x:v>1</x:v>
      </x:c>
      <x:c r="J50" s="7" t="n">
        <x:v>8.796770500001003</x:v>
      </x:c>
      <x:c r="K50" s="7" t="n">
        <x:f>IF(G50&gt;0,1,0)</x:f>
        <x:v>1</x:v>
      </x:c>
      <x:c r="L50" s="7" t="n">
        <x:f>IF(E50="",0,1/E50)</x:f>
        <x:v>1</x:v>
      </x:c>
      <x:c r="M50" s="7" t="n">
        <x:f>G50/F50</x:f>
        <x:v>1</x:v>
      </x:c>
      <x:c r="N50" s="7" t="n">
        <x:f>I50/H50</x:f>
        <x:v>1</x:v>
      </x:c>
      <x:c r="O50" s="7" t="n">
        <x:f>IF(I50=H50,1,0)</x:f>
        <x:v>1</x:v>
      </x:c>
    </x:row>
    <x:row r="51" ht="23" customHeight="1">
      <x:c r="A51" s="2" t="str">
        <x:v>F007</x:v>
      </x:c>
      <x:c r="B51" s="2" t="str">
        <x:v>rerank10</x:v>
      </x:c>
      <x:c r="C51" s="2" t="str">
        <x:v>fact</x:v>
      </x:c>
      <x:c r="D51" s="2" t="str">
        <x:v>zh</x:v>
      </x:c>
      <x:c r="E51" s="2" t="n">
        <x:v>1</x:v>
      </x:c>
      <x:c r="F51" s="2" t="n">
        <x:v>1</x:v>
      </x:c>
      <x:c r="G51" s="2" t="n">
        <x:v>1</x:v>
      </x:c>
      <x:c r="H51" s="2" t="n">
        <x:v>1</x:v>
      </x:c>
      <x:c r="I51" s="2" t="n">
        <x:v>1</x:v>
      </x:c>
      <x:c r="J51" s="7" t="n">
        <x:v>4.984658099998342</x:v>
      </x:c>
      <x:c r="K51" s="7" t="n">
        <x:f>IF(G51&gt;0,1,0)</x:f>
        <x:v>1</x:v>
      </x:c>
      <x:c r="L51" s="7" t="n">
        <x:f>IF(E51="",0,1/E51)</x:f>
        <x:v>1</x:v>
      </x:c>
      <x:c r="M51" s="7" t="n">
        <x:f>G51/F51</x:f>
        <x:v>1</x:v>
      </x:c>
      <x:c r="N51" s="7" t="n">
        <x:f>I51/H51</x:f>
        <x:v>1</x:v>
      </x:c>
      <x:c r="O51" s="7" t="n">
        <x:f>IF(I51=H51,1,0)</x:f>
        <x:v>1</x:v>
      </x:c>
    </x:row>
    <x:row r="52" ht="23" customHeight="1">
      <x:c r="A52" s="2" t="str">
        <x:v>R014</x:v>
      </x:c>
      <x:c r="B52" s="2" t="str">
        <x:v>vector</x:v>
      </x:c>
      <x:c r="C52" s="2" t="str">
        <x:v>reasoning</x:v>
      </x:c>
      <x:c r="D52" s="2" t="str">
        <x:v>zh</x:v>
      </x:c>
      <x:c r="E52" s="2"/>
      <x:c r="F52" s="2" t="n">
        <x:v>2</x:v>
      </x:c>
      <x:c r="G52" s="2" t="n">
        <x:v>0</x:v>
      </x:c>
      <x:c r="H52" s="2" t="n">
        <x:v>1</x:v>
      </x:c>
      <x:c r="I52" s="2" t="n">
        <x:v>0</x:v>
      </x:c>
      <x:c r="J52" s="7" t="n">
        <x:v>0.10406499999953667</x:v>
      </x:c>
      <x:c r="K52" s="7" t="n">
        <x:f>IF(G52&gt;0,1,0)</x:f>
        <x:v>0</x:v>
      </x:c>
      <x:c r="L52" s="7" t="n">
        <x:f>IF(E52="",0,1/E52)</x:f>
        <x:v>0</x:v>
      </x:c>
      <x:c r="M52" s="7" t="n">
        <x:f>G52/F52</x:f>
        <x:v>0</x:v>
      </x:c>
      <x:c r="N52" s="7" t="n">
        <x:f>I52/H52</x:f>
        <x:v>0</x:v>
      </x:c>
      <x:c r="O52" s="7" t="n">
        <x:f>IF(I52=H52,1,0)</x:f>
        <x:v>0</x:v>
      </x:c>
    </x:row>
    <x:row r="53" ht="23" customHeight="1">
      <x:c r="A53" s="2" t="str">
        <x:v>R014</x:v>
      </x:c>
      <x:c r="B53" s="2" t="str">
        <x:v>hybrid</x:v>
      </x:c>
      <x:c r="C53" s="2" t="str">
        <x:v>reasoning</x:v>
      </x:c>
      <x:c r="D53" s="2" t="str">
        <x:v>zh</x:v>
      </x:c>
      <x:c r="E53" s="2"/>
      <x:c r="F53" s="2" t="n">
        <x:v>2</x:v>
      </x:c>
      <x:c r="G53" s="2" t="n">
        <x:v>0</x:v>
      </x:c>
      <x:c r="H53" s="2" t="n">
        <x:v>1</x:v>
      </x:c>
      <x:c r="I53" s="2" t="n">
        <x:v>0</x:v>
      </x:c>
      <x:c r="J53" s="7" t="n">
        <x:v>0.15547849999711616</x:v>
      </x:c>
      <x:c r="K53" s="7" t="n">
        <x:f>IF(G53&gt;0,1,0)</x:f>
        <x:v>0</x:v>
      </x:c>
      <x:c r="L53" s="7" t="n">
        <x:f>IF(E53="",0,1/E53)</x:f>
        <x:v>0</x:v>
      </x:c>
      <x:c r="M53" s="7" t="n">
        <x:f>G53/F53</x:f>
        <x:v>0</x:v>
      </x:c>
      <x:c r="N53" s="7" t="n">
        <x:f>I53/H53</x:f>
        <x:v>0</x:v>
      </x:c>
      <x:c r="O53" s="7" t="n">
        <x:f>IF(I53=H53,1,0)</x:f>
        <x:v>0</x:v>
      </x:c>
    </x:row>
    <x:row r="54" ht="23" customHeight="1">
      <x:c r="A54" s="2" t="str">
        <x:v>R014</x:v>
      </x:c>
      <x:c r="B54" s="2" t="str">
        <x:v>rerank20</x:v>
      </x:c>
      <x:c r="C54" s="2" t="str">
        <x:v>reasoning</x:v>
      </x:c>
      <x:c r="D54" s="2" t="str">
        <x:v>zh</x:v>
      </x:c>
      <x:c r="E54" s="2" t="n">
        <x:v>3</x:v>
      </x:c>
      <x:c r="F54" s="2" t="n">
        <x:v>2</x:v>
      </x:c>
      <x:c r="G54" s="2" t="n">
        <x:v>1</x:v>
      </x:c>
      <x:c r="H54" s="2" t="n">
        <x:v>1</x:v>
      </x:c>
      <x:c r="I54" s="2" t="n">
        <x:v>1</x:v>
      </x:c>
      <x:c r="J54" s="7" t="n">
        <x:v>5.045962400003191</x:v>
      </x:c>
      <x:c r="K54" s="7" t="n">
        <x:f>IF(G54&gt;0,1,0)</x:f>
        <x:v>1</x:v>
      </x:c>
      <x:c r="L54" s="7" t="n">
        <x:f>IF(E54="",0,1/E54)</x:f>
        <x:v>0.3333333333333333</x:v>
      </x:c>
      <x:c r="M54" s="7" t="n">
        <x:f>G54/F54</x:f>
        <x:v>0.5</x:v>
      </x:c>
      <x:c r="N54" s="7" t="n">
        <x:f>I54/H54</x:f>
        <x:v>1</x:v>
      </x:c>
      <x:c r="O54" s="7" t="n">
        <x:f>IF(I54=H54,1,0)</x:f>
        <x:v>1</x:v>
      </x:c>
    </x:row>
    <x:row r="55" ht="23" customHeight="1">
      <x:c r="A55" s="2" t="str">
        <x:v>R014</x:v>
      </x:c>
      <x:c r="B55" s="2" t="str">
        <x:v>rerank10</x:v>
      </x:c>
      <x:c r="C55" s="2" t="str">
        <x:v>reasoning</x:v>
      </x:c>
      <x:c r="D55" s="2" t="str">
        <x:v>zh</x:v>
      </x:c>
      <x:c r="E55" s="2" t="n">
        <x:v>2</x:v>
      </x:c>
      <x:c r="F55" s="2" t="n">
        <x:v>2</x:v>
      </x:c>
      <x:c r="G55" s="2" t="n">
        <x:v>1</x:v>
      </x:c>
      <x:c r="H55" s="2" t="n">
        <x:v>1</x:v>
      </x:c>
      <x:c r="I55" s="2" t="n">
        <x:v>1</x:v>
      </x:c>
      <x:c r="J55" s="7" t="n">
        <x:v>2.5956876999989618</x:v>
      </x:c>
      <x:c r="K55" s="7" t="n">
        <x:f>IF(G55&gt;0,1,0)</x:f>
        <x:v>1</x:v>
      </x:c>
      <x:c r="L55" s="7" t="n">
        <x:f>IF(E55="",0,1/E55)</x:f>
        <x:v>0.5</x:v>
      </x:c>
      <x:c r="M55" s="7" t="n">
        <x:f>G55/F55</x:f>
        <x:v>0.5</x:v>
      </x:c>
      <x:c r="N55" s="7" t="n">
        <x:f>I55/H55</x:f>
        <x:v>1</x:v>
      </x:c>
      <x:c r="O55" s="7" t="n">
        <x:f>IF(I55=H55,1,0)</x:f>
        <x:v>1</x:v>
      </x:c>
    </x:row>
    <x:row r="56" ht="23" customHeight="1">
      <x:c r="A56" s="2" t="str">
        <x:v>R014</x:v>
      </x:c>
      <x:c r="B56" s="2" t="str">
        <x:v>rerank40</x:v>
      </x:c>
      <x:c r="C56" s="2" t="str">
        <x:v>reasoning</x:v>
      </x:c>
      <x:c r="D56" s="2" t="str">
        <x:v>zh</x:v>
      </x:c>
      <x:c r="E56" s="2" t="n">
        <x:v>4</x:v>
      </x:c>
      <x:c r="F56" s="2" t="n">
        <x:v>2</x:v>
      </x:c>
      <x:c r="G56" s="2" t="n">
        <x:v>1</x:v>
      </x:c>
      <x:c r="H56" s="2" t="n">
        <x:v>1</x:v>
      </x:c>
      <x:c r="I56" s="2" t="n">
        <x:v>1</x:v>
      </x:c>
      <x:c r="J56" s="7" t="n">
        <x:v>13.70860299999913</x:v>
      </x:c>
      <x:c r="K56" s="7" t="n">
        <x:f>IF(G56&gt;0,1,0)</x:f>
        <x:v>1</x:v>
      </x:c>
      <x:c r="L56" s="7" t="n">
        <x:f>IF(E56="",0,1/E56)</x:f>
        <x:v>0.25</x:v>
      </x:c>
      <x:c r="M56" s="7" t="n">
        <x:f>G56/F56</x:f>
        <x:v>0.5</x:v>
      </x:c>
      <x:c r="N56" s="7" t="n">
        <x:f>I56/H56</x:f>
        <x:v>1</x:v>
      </x:c>
      <x:c r="O56" s="7" t="n">
        <x:f>IF(I56=H56,1,0)</x:f>
        <x:v>1</x:v>
      </x:c>
    </x:row>
    <x:row r="57" ht="23" customHeight="1">
      <x:c r="A57" s="2" t="str">
        <x:v>C010</x:v>
      </x:c>
      <x:c r="B57" s="2" t="str">
        <x:v>hybrid</x:v>
      </x:c>
      <x:c r="C57" s="2" t="str">
        <x:v>comparison</x:v>
      </x:c>
      <x:c r="D57" s="2" t="str">
        <x:v>zh</x:v>
      </x:c>
      <x:c r="E57" s="2"/>
      <x:c r="F57" s="2" t="n">
        <x:v>2</x:v>
      </x:c>
      <x:c r="G57" s="2" t="n">
        <x:v>0</x:v>
      </x:c>
      <x:c r="H57" s="2" t="n">
        <x:v>2</x:v>
      </x:c>
      <x:c r="I57" s="2" t="n">
        <x:v>0</x:v>
      </x:c>
      <x:c r="J57" s="7" t="n">
        <x:v>0.14685360000294168</x:v>
      </x:c>
      <x:c r="K57" s="7" t="n">
        <x:f>IF(G57&gt;0,1,0)</x:f>
        <x:v>0</x:v>
      </x:c>
      <x:c r="L57" s="7" t="n">
        <x:f>IF(E57="",0,1/E57)</x:f>
        <x:v>0</x:v>
      </x:c>
      <x:c r="M57" s="7" t="n">
        <x:f>G57/F57</x:f>
        <x:v>0</x:v>
      </x:c>
      <x:c r="N57" s="7" t="n">
        <x:f>I57/H57</x:f>
        <x:v>0</x:v>
      </x:c>
      <x:c r="O57" s="7" t="n">
        <x:f>IF(I57=H57,1,0)</x:f>
        <x:v>0</x:v>
      </x:c>
    </x:row>
    <x:row r="58" ht="23" customHeight="1">
      <x:c r="A58" s="2" t="str">
        <x:v>C010</x:v>
      </x:c>
      <x:c r="B58" s="2" t="str">
        <x:v>rerank20</x:v>
      </x:c>
      <x:c r="C58" s="2" t="str">
        <x:v>comparison</x:v>
      </x:c>
      <x:c r="D58" s="2" t="str">
        <x:v>zh</x:v>
      </x:c>
      <x:c r="E58" s="2" t="n">
        <x:v>3</x:v>
      </x:c>
      <x:c r="F58" s="2" t="n">
        <x:v>2</x:v>
      </x:c>
      <x:c r="G58" s="2" t="n">
        <x:v>1</x:v>
      </x:c>
      <x:c r="H58" s="2" t="n">
        <x:v>2</x:v>
      </x:c>
      <x:c r="I58" s="2" t="n">
        <x:v>1</x:v>
      </x:c>
      <x:c r="J58" s="7" t="n">
        <x:v>5.454055700000026</x:v>
      </x:c>
      <x:c r="K58" s="7" t="n">
        <x:f>IF(G58&gt;0,1,0)</x:f>
        <x:v>1</x:v>
      </x:c>
      <x:c r="L58" s="7" t="n">
        <x:f>IF(E58="",0,1/E58)</x:f>
        <x:v>0.3333333333333333</x:v>
      </x:c>
      <x:c r="M58" s="7" t="n">
        <x:f>G58/F58</x:f>
        <x:v>0.5</x:v>
      </x:c>
      <x:c r="N58" s="7" t="n">
        <x:f>I58/H58</x:f>
        <x:v>0.5</x:v>
      </x:c>
      <x:c r="O58" s="7" t="n">
        <x:f>IF(I58=H58,1,0)</x:f>
        <x:v>0</x:v>
      </x:c>
    </x:row>
    <x:row r="59" ht="23" customHeight="1">
      <x:c r="A59" s="2" t="str">
        <x:v>C010</x:v>
      </x:c>
      <x:c r="B59" s="2" t="str">
        <x:v>rerank10</x:v>
      </x:c>
      <x:c r="C59" s="2" t="str">
        <x:v>comparison</x:v>
      </x:c>
      <x:c r="D59" s="2" t="str">
        <x:v>zh</x:v>
      </x:c>
      <x:c r="E59" s="2" t="n">
        <x:v>5</x:v>
      </x:c>
      <x:c r="F59" s="2" t="n">
        <x:v>2</x:v>
      </x:c>
      <x:c r="G59" s="2" t="n">
        <x:v>1</x:v>
      </x:c>
      <x:c r="H59" s="2" t="n">
        <x:v>2</x:v>
      </x:c>
      <x:c r="I59" s="2" t="n">
        <x:v>1</x:v>
      </x:c>
      <x:c r="J59" s="7" t="n">
        <x:v>2.815925700000662</x:v>
      </x:c>
      <x:c r="K59" s="7" t="n">
        <x:f>IF(G59&gt;0,1,0)</x:f>
        <x:v>1</x:v>
      </x:c>
      <x:c r="L59" s="7" t="n">
        <x:f>IF(E59="",0,1/E59)</x:f>
        <x:v>0.2</x:v>
      </x:c>
      <x:c r="M59" s="7" t="n">
        <x:f>G59/F59</x:f>
        <x:v>0.5</x:v>
      </x:c>
      <x:c r="N59" s="7" t="n">
        <x:f>I59/H59</x:f>
        <x:v>0.5</x:v>
      </x:c>
      <x:c r="O59" s="7" t="n">
        <x:f>IF(I59=H59,1,0)</x:f>
        <x:v>0</x:v>
      </x:c>
    </x:row>
    <x:row r="60" ht="23" customHeight="1">
      <x:c r="A60" s="2" t="str">
        <x:v>C010</x:v>
      </x:c>
      <x:c r="B60" s="2" t="str">
        <x:v>rerank40</x:v>
      </x:c>
      <x:c r="C60" s="2" t="str">
        <x:v>comparison</x:v>
      </x:c>
      <x:c r="D60" s="2" t="str">
        <x:v>zh</x:v>
      </x:c>
      <x:c r="E60" s="2" t="n">
        <x:v>5</x:v>
      </x:c>
      <x:c r="F60" s="2" t="n">
        <x:v>2</x:v>
      </x:c>
      <x:c r="G60" s="2" t="n">
        <x:v>1</x:v>
      </x:c>
      <x:c r="H60" s="2" t="n">
        <x:v>2</x:v>
      </x:c>
      <x:c r="I60" s="2" t="n">
        <x:v>1</x:v>
      </x:c>
      <x:c r="J60" s="7" t="n">
        <x:v>17.624690500000725</x:v>
      </x:c>
      <x:c r="K60" s="7" t="n">
        <x:f>IF(G60&gt;0,1,0)</x:f>
        <x:v>1</x:v>
      </x:c>
      <x:c r="L60" s="7" t="n">
        <x:f>IF(E60="",0,1/E60)</x:f>
        <x:v>0.2</x:v>
      </x:c>
      <x:c r="M60" s="7" t="n">
        <x:f>G60/F60</x:f>
        <x:v>0.5</x:v>
      </x:c>
      <x:c r="N60" s="7" t="n">
        <x:f>I60/H60</x:f>
        <x:v>0.5</x:v>
      </x:c>
      <x:c r="O60" s="7" t="n">
        <x:f>IF(I60=H60,1,0)</x:f>
        <x:v>0</x:v>
      </x:c>
    </x:row>
    <x:row r="61" ht="23" customHeight="1">
      <x:c r="A61" s="2" t="str">
        <x:v>C010</x:v>
      </x:c>
      <x:c r="B61" s="2" t="str">
        <x:v>vector</x:v>
      </x:c>
      <x:c r="C61" s="2" t="str">
        <x:v>comparison</x:v>
      </x:c>
      <x:c r="D61" s="2" t="str">
        <x:v>zh</x:v>
      </x:c>
      <x:c r="E61" s="2" t="n">
        <x:v>2</x:v>
      </x:c>
      <x:c r="F61" s="2" t="n">
        <x:v>2</x:v>
      </x:c>
      <x:c r="G61" s="2" t="n">
        <x:v>1</x:v>
      </x:c>
      <x:c r="H61" s="2" t="n">
        <x:v>2</x:v>
      </x:c>
      <x:c r="I61" s="2" t="n">
        <x:v>1</x:v>
      </x:c>
      <x:c r="J61" s="7" t="n">
        <x:v>0.07882980000067619</x:v>
      </x:c>
      <x:c r="K61" s="7" t="n">
        <x:f>IF(G61&gt;0,1,0)</x:f>
        <x:v>1</x:v>
      </x:c>
      <x:c r="L61" s="7" t="n">
        <x:f>IF(E61="",0,1/E61)</x:f>
        <x:v>0.5</x:v>
      </x:c>
      <x:c r="M61" s="7" t="n">
        <x:f>G61/F61</x:f>
        <x:v>0.5</x:v>
      </x:c>
      <x:c r="N61" s="7" t="n">
        <x:f>I61/H61</x:f>
        <x:v>0.5</x:v>
      </x:c>
      <x:c r="O61" s="7" t="n">
        <x:f>IF(I61=H61,1,0)</x:f>
        <x:v>0</x:v>
      </x:c>
    </x:row>
    <x:row r="62" ht="23" customHeight="1">
      <x:c r="A62" s="2" t="str">
        <x:v>R007</x:v>
      </x:c>
      <x:c r="B62" s="2" t="str">
        <x:v>rerank20</x:v>
      </x:c>
      <x:c r="C62" s="2" t="str">
        <x:v>reasoning</x:v>
      </x:c>
      <x:c r="D62" s="2" t="str">
        <x:v>en</x:v>
      </x:c>
      <x:c r="E62" s="2"/>
      <x:c r="F62" s="2" t="n">
        <x:v>1</x:v>
      </x:c>
      <x:c r="G62" s="2" t="n">
        <x:v>0</x:v>
      </x:c>
      <x:c r="H62" s="2" t="n">
        <x:v>1</x:v>
      </x:c>
      <x:c r="I62" s="2" t="n">
        <x:v>0</x:v>
      </x:c>
      <x:c r="J62" s="7" t="n">
        <x:v>5.218826399999671</x:v>
      </x:c>
      <x:c r="K62" s="7" t="n">
        <x:f>IF(G62&gt;0,1,0)</x:f>
        <x:v>0</x:v>
      </x:c>
      <x:c r="L62" s="7" t="n">
        <x:f>IF(E62="",0,1/E62)</x:f>
        <x:v>0</x:v>
      </x:c>
      <x:c r="M62" s="7" t="n">
        <x:f>G62/F62</x:f>
        <x:v>0</x:v>
      </x:c>
      <x:c r="N62" s="7" t="n">
        <x:f>I62/H62</x:f>
        <x:v>0</x:v>
      </x:c>
      <x:c r="O62" s="7" t="n">
        <x:f>IF(I62=H62,1,0)</x:f>
        <x:v>0</x:v>
      </x:c>
    </x:row>
    <x:row r="63" ht="23" customHeight="1">
      <x:c r="A63" s="2" t="str">
        <x:v>R007</x:v>
      </x:c>
      <x:c r="B63" s="2" t="str">
        <x:v>rerank10</x:v>
      </x:c>
      <x:c r="C63" s="2" t="str">
        <x:v>reasoning</x:v>
      </x:c>
      <x:c r="D63" s="2" t="str">
        <x:v>en</x:v>
      </x:c>
      <x:c r="E63" s="2"/>
      <x:c r="F63" s="2" t="n">
        <x:v>1</x:v>
      </x:c>
      <x:c r="G63" s="2" t="n">
        <x:v>0</x:v>
      </x:c>
      <x:c r="H63" s="2" t="n">
        <x:v>1</x:v>
      </x:c>
      <x:c r="I63" s="2" t="n">
        <x:v>0</x:v>
      </x:c>
      <x:c r="J63" s="7" t="n">
        <x:v>2.3984592000015255</x:v>
      </x:c>
      <x:c r="K63" s="7" t="n">
        <x:f>IF(G63&gt;0,1,0)</x:f>
        <x:v>0</x:v>
      </x:c>
      <x:c r="L63" s="7" t="n">
        <x:f>IF(E63="",0,1/E63)</x:f>
        <x:v>0</x:v>
      </x:c>
      <x:c r="M63" s="7" t="n">
        <x:f>G63/F63</x:f>
        <x:v>0</x:v>
      </x:c>
      <x:c r="N63" s="7" t="n">
        <x:f>I63/H63</x:f>
        <x:v>0</x:v>
      </x:c>
      <x:c r="O63" s="7" t="n">
        <x:f>IF(I63=H63,1,0)</x:f>
        <x:v>0</x:v>
      </x:c>
    </x:row>
    <x:row r="64" ht="23" customHeight="1">
      <x:c r="A64" s="2" t="str">
        <x:v>R007</x:v>
      </x:c>
      <x:c r="B64" s="2" t="str">
        <x:v>rerank40</x:v>
      </x:c>
      <x:c r="C64" s="2" t="str">
        <x:v>reasoning</x:v>
      </x:c>
      <x:c r="D64" s="2" t="str">
        <x:v>en</x:v>
      </x:c>
      <x:c r="E64" s="2" t="n">
        <x:v>5</x:v>
      </x:c>
      <x:c r="F64" s="2" t="n">
        <x:v>1</x:v>
      </x:c>
      <x:c r="G64" s="2" t="n">
        <x:v>1</x:v>
      </x:c>
      <x:c r="H64" s="2" t="n">
        <x:v>1</x:v>
      </x:c>
      <x:c r="I64" s="2" t="n">
        <x:v>1</x:v>
      </x:c>
      <x:c r="J64" s="7" t="n">
        <x:v>11.293353699998988</x:v>
      </x:c>
      <x:c r="K64" s="7" t="n">
        <x:f>IF(G64&gt;0,1,0)</x:f>
        <x:v>1</x:v>
      </x:c>
      <x:c r="L64" s="7" t="n">
        <x:f>IF(E64="",0,1/E64)</x:f>
        <x:v>0.2</x:v>
      </x:c>
      <x:c r="M64" s="7" t="n">
        <x:f>G64/F64</x:f>
        <x:v>1</x:v>
      </x:c>
      <x:c r="N64" s="7" t="n">
        <x:f>I64/H64</x:f>
        <x:v>1</x:v>
      </x:c>
      <x:c r="O64" s="7" t="n">
        <x:f>IF(I64=H64,1,0)</x:f>
        <x:v>1</x:v>
      </x:c>
    </x:row>
    <x:row r="65" ht="23" customHeight="1">
      <x:c r="A65" s="2" t="str">
        <x:v>R007</x:v>
      </x:c>
      <x:c r="B65" s="2" t="str">
        <x:v>vector</x:v>
      </x:c>
      <x:c r="C65" s="2" t="str">
        <x:v>reasoning</x:v>
      </x:c>
      <x:c r="D65" s="2" t="str">
        <x:v>en</x:v>
      </x:c>
      <x:c r="E65" s="2"/>
      <x:c r="F65" s="2" t="n">
        <x:v>1</x:v>
      </x:c>
      <x:c r="G65" s="2" t="n">
        <x:v>0</x:v>
      </x:c>
      <x:c r="H65" s="2" t="n">
        <x:v>1</x:v>
      </x:c>
      <x:c r="I65" s="2" t="n">
        <x:v>0</x:v>
      </x:c>
      <x:c r="J65" s="7" t="n">
        <x:v>0.08430869999938295</x:v>
      </x:c>
      <x:c r="K65" s="7" t="n">
        <x:f>IF(G65&gt;0,1,0)</x:f>
        <x:v>0</x:v>
      </x:c>
      <x:c r="L65" s="7" t="n">
        <x:f>IF(E65="",0,1/E65)</x:f>
        <x:v>0</x:v>
      </x:c>
      <x:c r="M65" s="7" t="n">
        <x:f>G65/F65</x:f>
        <x:v>0</x:v>
      </x:c>
      <x:c r="N65" s="7" t="n">
        <x:f>I65/H65</x:f>
        <x:v>0</x:v>
      </x:c>
      <x:c r="O65" s="7" t="n">
        <x:f>IF(I65=H65,1,0)</x:f>
        <x:v>0</x:v>
      </x:c>
    </x:row>
    <x:row r="66" ht="23" customHeight="1">
      <x:c r="A66" s="2" t="str">
        <x:v>R007</x:v>
      </x:c>
      <x:c r="B66" s="2" t="str">
        <x:v>hybrid</x:v>
      </x:c>
      <x:c r="C66" s="2" t="str">
        <x:v>reasoning</x:v>
      </x:c>
      <x:c r="D66" s="2" t="str">
        <x:v>en</x:v>
      </x:c>
      <x:c r="E66" s="2"/>
      <x:c r="F66" s="2" t="n">
        <x:v>1</x:v>
      </x:c>
      <x:c r="G66" s="2" t="n">
        <x:v>0</x:v>
      </x:c>
      <x:c r="H66" s="2" t="n">
        <x:v>1</x:v>
      </x:c>
      <x:c r="I66" s="2" t="n">
        <x:v>0</x:v>
      </x:c>
      <x:c r="J66" s="7" t="n">
        <x:v>0.16419709999900078</x:v>
      </x:c>
      <x:c r="K66" s="7" t="n">
        <x:f>IF(G66&gt;0,1,0)</x:f>
        <x:v>0</x:v>
      </x:c>
      <x:c r="L66" s="7" t="n">
        <x:f>IF(E66="",0,1/E66)</x:f>
        <x:v>0</x:v>
      </x:c>
      <x:c r="M66" s="7" t="n">
        <x:f>G66/F66</x:f>
        <x:v>0</x:v>
      </x:c>
      <x:c r="N66" s="7" t="n">
        <x:f>I66/H66</x:f>
        <x:v>0</x:v>
      </x:c>
      <x:c r="O66" s="7" t="n">
        <x:f>IF(I66=H66,1,0)</x:f>
        <x:v>0</x:v>
      </x:c>
    </x:row>
    <x:row r="67" ht="23" customHeight="1">
      <x:c r="A67" s="2" t="str">
        <x:v>C005</x:v>
      </x:c>
      <x:c r="B67" s="2" t="str">
        <x:v>rerank10</x:v>
      </x:c>
      <x:c r="C67" s="2" t="str">
        <x:v>comparison</x:v>
      </x:c>
      <x:c r="D67" s="2" t="str">
        <x:v>en</x:v>
      </x:c>
      <x:c r="E67" s="2" t="n">
        <x:v>4</x:v>
      </x:c>
      <x:c r="F67" s="2" t="n">
        <x:v>2</x:v>
      </x:c>
      <x:c r="G67" s="2" t="n">
        <x:v>1</x:v>
      </x:c>
      <x:c r="H67" s="2" t="n">
        <x:v>2</x:v>
      </x:c>
      <x:c r="I67" s="2" t="n">
        <x:v>1</x:v>
      </x:c>
      <x:c r="J67" s="7" t="n">
        <x:v>2.8132230000010168</x:v>
      </x:c>
      <x:c r="K67" s="7" t="n">
        <x:f>IF(G67&gt;0,1,0)</x:f>
        <x:v>1</x:v>
      </x:c>
      <x:c r="L67" s="7" t="n">
        <x:f>IF(E67="",0,1/E67)</x:f>
        <x:v>0.25</x:v>
      </x:c>
      <x:c r="M67" s="7" t="n">
        <x:f>G67/F67</x:f>
        <x:v>0.5</x:v>
      </x:c>
      <x:c r="N67" s="7" t="n">
        <x:f>I67/H67</x:f>
        <x:v>0.5</x:v>
      </x:c>
      <x:c r="O67" s="7" t="n">
        <x:f>IF(I67=H67,1,0)</x:f>
        <x:v>0</x:v>
      </x:c>
    </x:row>
    <x:row r="68" ht="23" customHeight="1">
      <x:c r="A68" s="2" t="str">
        <x:v>C005</x:v>
      </x:c>
      <x:c r="B68" s="2" t="str">
        <x:v>rerank40</x:v>
      </x:c>
      <x:c r="C68" s="2" t="str">
        <x:v>comparison</x:v>
      </x:c>
      <x:c r="D68" s="2" t="str">
        <x:v>en</x:v>
      </x:c>
      <x:c r="E68" s="2" t="n">
        <x:v>2</x:v>
      </x:c>
      <x:c r="F68" s="2" t="n">
        <x:v>2</x:v>
      </x:c>
      <x:c r="G68" s="2" t="n">
        <x:v>1</x:v>
      </x:c>
      <x:c r="H68" s="2" t="n">
        <x:v>2</x:v>
      </x:c>
      <x:c r="I68" s="2" t="n">
        <x:v>1</x:v>
      </x:c>
      <x:c r="J68" s="7" t="n">
        <x:v>10.342653400002746</x:v>
      </x:c>
      <x:c r="K68" s="7" t="n">
        <x:f>IF(G68&gt;0,1,0)</x:f>
        <x:v>1</x:v>
      </x:c>
      <x:c r="L68" s="7" t="n">
        <x:f>IF(E68="",0,1/E68)</x:f>
        <x:v>0.5</x:v>
      </x:c>
      <x:c r="M68" s="7" t="n">
        <x:f>G68/F68</x:f>
        <x:v>0.5</x:v>
      </x:c>
      <x:c r="N68" s="7" t="n">
        <x:f>I68/H68</x:f>
        <x:v>0.5</x:v>
      </x:c>
      <x:c r="O68" s="7" t="n">
        <x:f>IF(I68=H68,1,0)</x:f>
        <x:v>0</x:v>
      </x:c>
    </x:row>
    <x:row r="69" ht="23" customHeight="1">
      <x:c r="A69" s="2" t="str">
        <x:v>C005</x:v>
      </x:c>
      <x:c r="B69" s="2" t="str">
        <x:v>vector</x:v>
      </x:c>
      <x:c r="C69" s="2" t="str">
        <x:v>comparison</x:v>
      </x:c>
      <x:c r="D69" s="2" t="str">
        <x:v>en</x:v>
      </x:c>
      <x:c r="E69" s="2" t="n">
        <x:v>2</x:v>
      </x:c>
      <x:c r="F69" s="2" t="n">
        <x:v>2</x:v>
      </x:c>
      <x:c r="G69" s="2" t="n">
        <x:v>1</x:v>
      </x:c>
      <x:c r="H69" s="2" t="n">
        <x:v>2</x:v>
      </x:c>
      <x:c r="I69" s="2" t="n">
        <x:v>1</x:v>
      </x:c>
      <x:c r="J69" s="7" t="n">
        <x:v>0.08189950000087265</x:v>
      </x:c>
      <x:c r="K69" s="7" t="n">
        <x:f>IF(G69&gt;0,1,0)</x:f>
        <x:v>1</x:v>
      </x:c>
      <x:c r="L69" s="7" t="n">
        <x:f>IF(E69="",0,1/E69)</x:f>
        <x:v>0.5</x:v>
      </x:c>
      <x:c r="M69" s="7" t="n">
        <x:f>G69/F69</x:f>
        <x:v>0.5</x:v>
      </x:c>
      <x:c r="N69" s="7" t="n">
        <x:f>I69/H69</x:f>
        <x:v>0.5</x:v>
      </x:c>
      <x:c r="O69" s="7" t="n">
        <x:f>IF(I69=H69,1,0)</x:f>
        <x:v>0</x:v>
      </x:c>
    </x:row>
    <x:row r="70" ht="23" customHeight="1">
      <x:c r="A70" s="2" t="str">
        <x:v>C005</x:v>
      </x:c>
      <x:c r="B70" s="2" t="str">
        <x:v>hybrid</x:v>
      </x:c>
      <x:c r="C70" s="2" t="str">
        <x:v>comparison</x:v>
      </x:c>
      <x:c r="D70" s="2" t="str">
        <x:v>en</x:v>
      </x:c>
      <x:c r="E70" s="2"/>
      <x:c r="F70" s="2" t="n">
        <x:v>2</x:v>
      </x:c>
      <x:c r="G70" s="2" t="n">
        <x:v>0</x:v>
      </x:c>
      <x:c r="H70" s="2" t="n">
        <x:v>2</x:v>
      </x:c>
      <x:c r="I70" s="2" t="n">
        <x:v>0</x:v>
      </x:c>
      <x:c r="J70" s="7" t="n">
        <x:v>0.15426899999874877</x:v>
      </x:c>
      <x:c r="K70" s="7" t="n">
        <x:f>IF(G70&gt;0,1,0)</x:f>
        <x:v>0</x:v>
      </x:c>
      <x:c r="L70" s="7" t="n">
        <x:f>IF(E70="",0,1/E70)</x:f>
        <x:v>0</x:v>
      </x:c>
      <x:c r="M70" s="7" t="n">
        <x:f>G70/F70</x:f>
        <x:v>0</x:v>
      </x:c>
      <x:c r="N70" s="7" t="n">
        <x:f>I70/H70</x:f>
        <x:v>0</x:v>
      </x:c>
      <x:c r="O70" s="7" t="n">
        <x:f>IF(I70=H70,1,0)</x:f>
        <x:v>0</x:v>
      </x:c>
    </x:row>
    <x:row r="71" ht="23" customHeight="1">
      <x:c r="A71" s="2" t="str">
        <x:v>C005</x:v>
      </x:c>
      <x:c r="B71" s="2" t="str">
        <x:v>rerank20</x:v>
      </x:c>
      <x:c r="C71" s="2" t="str">
        <x:v>comparison</x:v>
      </x:c>
      <x:c r="D71" s="2" t="str">
        <x:v>en</x:v>
      </x:c>
      <x:c r="E71" s="2"/>
      <x:c r="F71" s="2" t="n">
        <x:v>2</x:v>
      </x:c>
      <x:c r="G71" s="2" t="n">
        <x:v>0</x:v>
      </x:c>
      <x:c r="H71" s="2" t="n">
        <x:v>2</x:v>
      </x:c>
      <x:c r="I71" s="2" t="n">
        <x:v>0</x:v>
      </x:c>
      <x:c r="J71" s="7" t="n">
        <x:v>5.060217800000828</x:v>
      </x:c>
      <x:c r="K71" s="7" t="n">
        <x:f>IF(G71&gt;0,1,0)</x:f>
        <x:v>0</x:v>
      </x:c>
      <x:c r="L71" s="7" t="n">
        <x:f>IF(E71="",0,1/E71)</x:f>
        <x:v>0</x:v>
      </x:c>
      <x:c r="M71" s="7" t="n">
        <x:f>G71/F71</x:f>
        <x:v>0</x:v>
      </x:c>
      <x:c r="N71" s="7" t="n">
        <x:f>I71/H71</x:f>
        <x:v>0</x:v>
      </x:c>
      <x:c r="O71" s="7" t="n">
        <x:f>IF(I71=H71,1,0)</x:f>
        <x:v>0</x:v>
      </x:c>
    </x:row>
    <x:row r="72" ht="23" customHeight="1">
      <x:c r="A72" s="2" t="str">
        <x:v>F004</x:v>
      </x:c>
      <x:c r="B72" s="2" t="str">
        <x:v>rerank40</x:v>
      </x:c>
      <x:c r="C72" s="2" t="str">
        <x:v>fact</x:v>
      </x:c>
      <x:c r="D72" s="2" t="str">
        <x:v>en</x:v>
      </x:c>
      <x:c r="E72" s="2" t="n">
        <x:v>1</x:v>
      </x:c>
      <x:c r="F72" s="2" t="n">
        <x:v>1</x:v>
      </x:c>
      <x:c r="G72" s="2" t="n">
        <x:v>1</x:v>
      </x:c>
      <x:c r="H72" s="2" t="n">
        <x:v>1</x:v>
      </x:c>
      <x:c r="I72" s="2" t="n">
        <x:v>1</x:v>
      </x:c>
      <x:c r="J72" s="7" t="n">
        <x:v>14.490113299998484</x:v>
      </x:c>
      <x:c r="K72" s="7" t="n">
        <x:f>IF(G72&gt;0,1,0)</x:f>
        <x:v>1</x:v>
      </x:c>
      <x:c r="L72" s="7" t="n">
        <x:f>IF(E72="",0,1/E72)</x:f>
        <x:v>1</x:v>
      </x:c>
      <x:c r="M72" s="7" t="n">
        <x:f>G72/F72</x:f>
        <x:v>1</x:v>
      </x:c>
      <x:c r="N72" s="7" t="n">
        <x:f>I72/H72</x:f>
        <x:v>1</x:v>
      </x:c>
      <x:c r="O72" s="7" t="n">
        <x:f>IF(I72=H72,1,0)</x:f>
        <x:v>1</x:v>
      </x:c>
    </x:row>
    <x:row r="73" ht="23" customHeight="1">
      <x:c r="A73" s="2" t="str">
        <x:v>F004</x:v>
      </x:c>
      <x:c r="B73" s="2" t="str">
        <x:v>vector</x:v>
      </x:c>
      <x:c r="C73" s="2" t="str">
        <x:v>fact</x:v>
      </x:c>
      <x:c r="D73" s="2" t="str">
        <x:v>en</x:v>
      </x:c>
      <x:c r="E73" s="2" t="n">
        <x:v>1</x:v>
      </x:c>
      <x:c r="F73" s="2" t="n">
        <x:v>1</x:v>
      </x:c>
      <x:c r="G73" s="2" t="n">
        <x:v>1</x:v>
      </x:c>
      <x:c r="H73" s="2" t="n">
        <x:v>1</x:v>
      </x:c>
      <x:c r="I73" s="2" t="n">
        <x:v>1</x:v>
      </x:c>
      <x:c r="J73" s="7" t="n">
        <x:v>0.07187839999824064</x:v>
      </x:c>
      <x:c r="K73" s="7" t="n">
        <x:f>IF(G73&gt;0,1,0)</x:f>
        <x:v>1</x:v>
      </x:c>
      <x:c r="L73" s="7" t="n">
        <x:f>IF(E73="",0,1/E73)</x:f>
        <x:v>1</x:v>
      </x:c>
      <x:c r="M73" s="7" t="n">
        <x:f>G73/F73</x:f>
        <x:v>1</x:v>
      </x:c>
      <x:c r="N73" s="7" t="n">
        <x:f>I73/H73</x:f>
        <x:v>1</x:v>
      </x:c>
      <x:c r="O73" s="7" t="n">
        <x:f>IF(I73=H73,1,0)</x:f>
        <x:v>1</x:v>
      </x:c>
    </x:row>
    <x:row r="74" ht="23" customHeight="1">
      <x:c r="A74" s="2" t="str">
        <x:v>F004</x:v>
      </x:c>
      <x:c r="B74" s="2" t="str">
        <x:v>hybrid</x:v>
      </x:c>
      <x:c r="C74" s="2" t="str">
        <x:v>fact</x:v>
      </x:c>
      <x:c r="D74" s="2" t="str">
        <x:v>en</x:v>
      </x:c>
      <x:c r="E74" s="2" t="n">
        <x:v>1</x:v>
      </x:c>
      <x:c r="F74" s="2" t="n">
        <x:v>1</x:v>
      </x:c>
      <x:c r="G74" s="2" t="n">
        <x:v>1</x:v>
      </x:c>
      <x:c r="H74" s="2" t="n">
        <x:v>1</x:v>
      </x:c>
      <x:c r="I74" s="2" t="n">
        <x:v>1</x:v>
      </x:c>
      <x:c r="J74" s="7" t="n">
        <x:v>0.15175839999938034</x:v>
      </x:c>
      <x:c r="K74" s="7" t="n">
        <x:f>IF(G74&gt;0,1,0)</x:f>
        <x:v>1</x:v>
      </x:c>
      <x:c r="L74" s="7" t="n">
        <x:f>IF(E74="",0,1/E74)</x:f>
        <x:v>1</x:v>
      </x:c>
      <x:c r="M74" s="7" t="n">
        <x:f>G74/F74</x:f>
        <x:v>1</x:v>
      </x:c>
      <x:c r="N74" s="7" t="n">
        <x:f>I74/H74</x:f>
        <x:v>1</x:v>
      </x:c>
      <x:c r="O74" s="7" t="n">
        <x:f>IF(I74=H74,1,0)</x:f>
        <x:v>1</x:v>
      </x:c>
    </x:row>
    <x:row r="75" ht="23" customHeight="1">
      <x:c r="A75" s="2" t="str">
        <x:v>F004</x:v>
      </x:c>
      <x:c r="B75" s="2" t="str">
        <x:v>rerank20</x:v>
      </x:c>
      <x:c r="C75" s="2" t="str">
        <x:v>fact</x:v>
      </x:c>
      <x:c r="D75" s="2" t="str">
        <x:v>en</x:v>
      </x:c>
      <x:c r="E75" s="2" t="n">
        <x:v>1</x:v>
      </x:c>
      <x:c r="F75" s="2" t="n">
        <x:v>1</x:v>
      </x:c>
      <x:c r="G75" s="2" t="n">
        <x:v>1</x:v>
      </x:c>
      <x:c r="H75" s="2" t="n">
        <x:v>1</x:v>
      </x:c>
      <x:c r="I75" s="2" t="n">
        <x:v>1</x:v>
      </x:c>
      <x:c r="J75" s="7" t="n">
        <x:v>5.426507500000298</x:v>
      </x:c>
      <x:c r="K75" s="7" t="n">
        <x:f>IF(G75&gt;0,1,0)</x:f>
        <x:v>1</x:v>
      </x:c>
      <x:c r="L75" s="7" t="n">
        <x:f>IF(E75="",0,1/E75)</x:f>
        <x:v>1</x:v>
      </x:c>
      <x:c r="M75" s="7" t="n">
        <x:f>G75/F75</x:f>
        <x:v>1</x:v>
      </x:c>
      <x:c r="N75" s="7" t="n">
        <x:f>I75/H75</x:f>
        <x:v>1</x:v>
      </x:c>
      <x:c r="O75" s="7" t="n">
        <x:f>IF(I75=H75,1,0)</x:f>
        <x:v>1</x:v>
      </x:c>
    </x:row>
    <x:row r="76" ht="23" customHeight="1">
      <x:c r="A76" s="2" t="str">
        <x:v>F004</x:v>
      </x:c>
      <x:c r="B76" s="2" t="str">
        <x:v>rerank10</x:v>
      </x:c>
      <x:c r="C76" s="2" t="str">
        <x:v>fact</x:v>
      </x:c>
      <x:c r="D76" s="2" t="str">
        <x:v>en</x:v>
      </x:c>
      <x:c r="E76" s="2" t="n">
        <x:v>1</x:v>
      </x:c>
      <x:c r="F76" s="2" t="n">
        <x:v>1</x:v>
      </x:c>
      <x:c r="G76" s="2" t="n">
        <x:v>1</x:v>
      </x:c>
      <x:c r="H76" s="2" t="n">
        <x:v>1</x:v>
      </x:c>
      <x:c r="I76" s="2" t="n">
        <x:v>1</x:v>
      </x:c>
      <x:c r="J76" s="7" t="n">
        <x:v>2.376219599998876</x:v>
      </x:c>
      <x:c r="K76" s="7" t="n">
        <x:f>IF(G76&gt;0,1,0)</x:f>
        <x:v>1</x:v>
      </x:c>
      <x:c r="L76" s="7" t="n">
        <x:f>IF(E76="",0,1/E76)</x:f>
        <x:v>1</x:v>
      </x:c>
      <x:c r="M76" s="7" t="n">
        <x:f>G76/F76</x:f>
        <x:v>1</x:v>
      </x:c>
      <x:c r="N76" s="7" t="n">
        <x:f>I76/H76</x:f>
        <x:v>1</x:v>
      </x:c>
      <x:c r="O76" s="7" t="n">
        <x:f>IF(I76=H76,1,0)</x:f>
        <x:v>1</x:v>
      </x:c>
    </x:row>
    <x:row r="77" ht="23" customHeight="1">
      <x:c r="A77" s="2" t="str">
        <x:v>R015</x:v>
      </x:c>
      <x:c r="B77" s="2" t="str">
        <x:v>vector</x:v>
      </x:c>
      <x:c r="C77" s="2" t="str">
        <x:v>reasoning</x:v>
      </x:c>
      <x:c r="D77" s="2" t="str">
        <x:v>en</x:v>
      </x:c>
      <x:c r="E77" s="2" t="n">
        <x:v>3</x:v>
      </x:c>
      <x:c r="F77" s="2" t="n">
        <x:v>4</x:v>
      </x:c>
      <x:c r="G77" s="2" t="n">
        <x:v>1</x:v>
      </x:c>
      <x:c r="H77" s="2" t="n">
        <x:v>3</x:v>
      </x:c>
      <x:c r="I77" s="2" t="n">
        <x:v>1</x:v>
      </x:c>
      <x:c r="J77" s="7" t="n">
        <x:v>0.10914630000115721</x:v>
      </x:c>
      <x:c r="K77" s="7" t="n">
        <x:f>IF(G77&gt;0,1,0)</x:f>
        <x:v>1</x:v>
      </x:c>
      <x:c r="L77" s="7" t="n">
        <x:f>IF(E77="",0,1/E77)</x:f>
        <x:v>0.3333333333333333</x:v>
      </x:c>
      <x:c r="M77" s="7" t="n">
        <x:f>G77/F77</x:f>
        <x:v>0.25</x:v>
      </x:c>
      <x:c r="N77" s="7" t="n">
        <x:f>I77/H77</x:f>
        <x:v>0.3333333333333333</x:v>
      </x:c>
      <x:c r="O77" s="7" t="n">
        <x:f>IF(I77=H77,1,0)</x:f>
        <x:v>0</x:v>
      </x:c>
    </x:row>
    <x:row r="78" ht="23" customHeight="1">
      <x:c r="A78" s="2" t="str">
        <x:v>R015</x:v>
      </x:c>
      <x:c r="B78" s="2" t="str">
        <x:v>hybrid</x:v>
      </x:c>
      <x:c r="C78" s="2" t="str">
        <x:v>reasoning</x:v>
      </x:c>
      <x:c r="D78" s="2" t="str">
        <x:v>en</x:v>
      </x:c>
      <x:c r="E78" s="2"/>
      <x:c r="F78" s="2" t="n">
        <x:v>4</x:v>
      </x:c>
      <x:c r="G78" s="2" t="n">
        <x:v>0</x:v>
      </x:c>
      <x:c r="H78" s="2" t="n">
        <x:v>3</x:v>
      </x:c>
      <x:c r="I78" s="2" t="n">
        <x:v>0</x:v>
      </x:c>
      <x:c r="J78" s="7" t="n">
        <x:v>0.19078199999785284</x:v>
      </x:c>
      <x:c r="K78" s="7" t="n">
        <x:f>IF(G78&gt;0,1,0)</x:f>
        <x:v>0</x:v>
      </x:c>
      <x:c r="L78" s="7" t="n">
        <x:f>IF(E78="",0,1/E78)</x:f>
        <x:v>0</x:v>
      </x:c>
      <x:c r="M78" s="7" t="n">
        <x:f>G78/F78</x:f>
        <x:v>0</x:v>
      </x:c>
      <x:c r="N78" s="7" t="n">
        <x:f>I78/H78</x:f>
        <x:v>0</x:v>
      </x:c>
      <x:c r="O78" s="7" t="n">
        <x:f>IF(I78=H78,1,0)</x:f>
        <x:v>0</x:v>
      </x:c>
    </x:row>
    <x:row r="79" ht="23" customHeight="1">
      <x:c r="A79" s="2" t="str">
        <x:v>R015</x:v>
      </x:c>
      <x:c r="B79" s="2" t="str">
        <x:v>rerank20</x:v>
      </x:c>
      <x:c r="C79" s="2" t="str">
        <x:v>reasoning</x:v>
      </x:c>
      <x:c r="D79" s="2" t="str">
        <x:v>en</x:v>
      </x:c>
      <x:c r="E79" s="2" t="n">
        <x:v>5</x:v>
      </x:c>
      <x:c r="F79" s="2" t="n">
        <x:v>4</x:v>
      </x:c>
      <x:c r="G79" s="2" t="n">
        <x:v>1</x:v>
      </x:c>
      <x:c r="H79" s="2" t="n">
        <x:v>3</x:v>
      </x:c>
      <x:c r="I79" s="2" t="n">
        <x:v>1</x:v>
      </x:c>
      <x:c r="J79" s="7" t="n">
        <x:v>5.4846778999999515</x:v>
      </x:c>
      <x:c r="K79" s="7" t="n">
        <x:f>IF(G79&gt;0,1,0)</x:f>
        <x:v>1</x:v>
      </x:c>
      <x:c r="L79" s="7" t="n">
        <x:f>IF(E79="",0,1/E79)</x:f>
        <x:v>0.2</x:v>
      </x:c>
      <x:c r="M79" s="7" t="n">
        <x:f>G79/F79</x:f>
        <x:v>0.25</x:v>
      </x:c>
      <x:c r="N79" s="7" t="n">
        <x:f>I79/H79</x:f>
        <x:v>0.3333333333333333</x:v>
      </x:c>
      <x:c r="O79" s="7" t="n">
        <x:f>IF(I79=H79,1,0)</x:f>
        <x:v>0</x:v>
      </x:c>
    </x:row>
    <x:row r="80" ht="23" customHeight="1">
      <x:c r="A80" s="2" t="str">
        <x:v>R015</x:v>
      </x:c>
      <x:c r="B80" s="2" t="str">
        <x:v>rerank10</x:v>
      </x:c>
      <x:c r="C80" s="2" t="str">
        <x:v>reasoning</x:v>
      </x:c>
      <x:c r="D80" s="2" t="str">
        <x:v>en</x:v>
      </x:c>
      <x:c r="E80" s="2" t="n">
        <x:v>3</x:v>
      </x:c>
      <x:c r="F80" s="2" t="n">
        <x:v>4</x:v>
      </x:c>
      <x:c r="G80" s="2" t="n">
        <x:v>1</x:v>
      </x:c>
      <x:c r="H80" s="2" t="n">
        <x:v>3</x:v>
      </x:c>
      <x:c r="I80" s="2" t="n">
        <x:v>1</x:v>
      </x:c>
      <x:c r="J80" s="7" t="n">
        <x:v>2.57189610000205</x:v>
      </x:c>
      <x:c r="K80" s="7" t="n">
        <x:f>IF(G80&gt;0,1,0)</x:f>
        <x:v>1</x:v>
      </x:c>
      <x:c r="L80" s="7" t="n">
        <x:f>IF(E80="",0,1/E80)</x:f>
        <x:v>0.3333333333333333</x:v>
      </x:c>
      <x:c r="M80" s="7" t="n">
        <x:f>G80/F80</x:f>
        <x:v>0.25</x:v>
      </x:c>
      <x:c r="N80" s="7" t="n">
        <x:f>I80/H80</x:f>
        <x:v>0.3333333333333333</x:v>
      </x:c>
      <x:c r="O80" s="7" t="n">
        <x:f>IF(I80=H80,1,0)</x:f>
        <x:v>0</x:v>
      </x:c>
    </x:row>
    <x:row r="81" ht="23" customHeight="1">
      <x:c r="A81" s="2" t="str">
        <x:v>R015</x:v>
      </x:c>
      <x:c r="B81" s="2" t="str">
        <x:v>rerank40</x:v>
      </x:c>
      <x:c r="C81" s="2" t="str">
        <x:v>reasoning</x:v>
      </x:c>
      <x:c r="D81" s="2" t="str">
        <x:v>en</x:v>
      </x:c>
      <x:c r="E81" s="2" t="n">
        <x:v>5</x:v>
      </x:c>
      <x:c r="F81" s="2" t="n">
        <x:v>4</x:v>
      </x:c>
      <x:c r="G81" s="2" t="n">
        <x:v>1</x:v>
      </x:c>
      <x:c r="H81" s="2" t="n">
        <x:v>3</x:v>
      </x:c>
      <x:c r="I81" s="2" t="n">
        <x:v>1</x:v>
      </x:c>
      <x:c r="J81" s="7" t="n">
        <x:v>10.937873800001398</x:v>
      </x:c>
      <x:c r="K81" s="7" t="n">
        <x:f>IF(G81&gt;0,1,0)</x:f>
        <x:v>1</x:v>
      </x:c>
      <x:c r="L81" s="7" t="n">
        <x:f>IF(E81="",0,1/E81)</x:f>
        <x:v>0.2</x:v>
      </x:c>
      <x:c r="M81" s="7" t="n">
        <x:f>G81/F81</x:f>
        <x:v>0.25</x:v>
      </x:c>
      <x:c r="N81" s="7" t="n">
        <x:f>I81/H81</x:f>
        <x:v>0.3333333333333333</x:v>
      </x:c>
      <x:c r="O81" s="7" t="n">
        <x:f>IF(I81=H81,1,0)</x:f>
        <x:v>0</x:v>
      </x:c>
    </x:row>
    <x:row r="82" ht="23" customHeight="1">
      <x:c r="A82" s="2" t="str">
        <x:v>S013</x:v>
      </x:c>
      <x:c r="B82" s="2" t="str">
        <x:v>hybrid</x:v>
      </x:c>
      <x:c r="C82" s="2" t="str">
        <x:v>synthesis</x:v>
      </x:c>
      <x:c r="D82" s="2" t="str">
        <x:v>zh</x:v>
      </x:c>
      <x:c r="E82" s="2" t="n">
        <x:v>3</x:v>
      </x:c>
      <x:c r="F82" s="2" t="n">
        <x:v>5</x:v>
      </x:c>
      <x:c r="G82" s="2" t="n">
        <x:v>1</x:v>
      </x:c>
      <x:c r="H82" s="2" t="n">
        <x:v>3</x:v>
      </x:c>
      <x:c r="I82" s="2" t="n">
        <x:v>1</x:v>
      </x:c>
      <x:c r="J82" s="7" t="n">
        <x:v>0.1991182999990997</x:v>
      </x:c>
      <x:c r="K82" s="7" t="n">
        <x:f>IF(G82&gt;0,1,0)</x:f>
        <x:v>1</x:v>
      </x:c>
      <x:c r="L82" s="7" t="n">
        <x:f>IF(E82="",0,1/E82)</x:f>
        <x:v>0.3333333333333333</x:v>
      </x:c>
      <x:c r="M82" s="7" t="n">
        <x:f>G82/F82</x:f>
        <x:v>0.2</x:v>
      </x:c>
      <x:c r="N82" s="7" t="n">
        <x:f>I82/H82</x:f>
        <x:v>0.3333333333333333</x:v>
      </x:c>
      <x:c r="O82" s="7" t="n">
        <x:f>IF(I82=H82,1,0)</x:f>
        <x:v>0</x:v>
      </x:c>
    </x:row>
    <x:row r="83" ht="23" customHeight="1">
      <x:c r="A83" s="2" t="str">
        <x:v>S013</x:v>
      </x:c>
      <x:c r="B83" s="2" t="str">
        <x:v>rerank20</x:v>
      </x:c>
      <x:c r="C83" s="2" t="str">
        <x:v>synthesis</x:v>
      </x:c>
      <x:c r="D83" s="2" t="str">
        <x:v>zh</x:v>
      </x:c>
      <x:c r="E83" s="2"/>
      <x:c r="F83" s="2" t="n">
        <x:v>5</x:v>
      </x:c>
      <x:c r="G83" s="2" t="n">
        <x:v>0</x:v>
      </x:c>
      <x:c r="H83" s="2" t="n">
        <x:v>3</x:v>
      </x:c>
      <x:c r="I83" s="2" t="n">
        <x:v>0</x:v>
      </x:c>
      <x:c r="J83" s="7" t="n">
        <x:v>7.676897400000598</x:v>
      </x:c>
      <x:c r="K83" s="7" t="n">
        <x:f>IF(G83&gt;0,1,0)</x:f>
        <x:v>0</x:v>
      </x:c>
      <x:c r="L83" s="7" t="n">
        <x:f>IF(E83="",0,1/E83)</x:f>
        <x:v>0</x:v>
      </x:c>
      <x:c r="M83" s="7" t="n">
        <x:f>G83/F83</x:f>
        <x:v>0</x:v>
      </x:c>
      <x:c r="N83" s="7" t="n">
        <x:f>I83/H83</x:f>
        <x:v>0</x:v>
      </x:c>
      <x:c r="O83" s="7" t="n">
        <x:f>IF(I83=H83,1,0)</x:f>
        <x:v>0</x:v>
      </x:c>
    </x:row>
    <x:row r="84" ht="23" customHeight="1">
      <x:c r="A84" s="2" t="str">
        <x:v>S013</x:v>
      </x:c>
      <x:c r="B84" s="2" t="str">
        <x:v>rerank10</x:v>
      </x:c>
      <x:c r="C84" s="2" t="str">
        <x:v>synthesis</x:v>
      </x:c>
      <x:c r="D84" s="2" t="str">
        <x:v>zh</x:v>
      </x:c>
      <x:c r="E84" s="2" t="n">
        <x:v>4</x:v>
      </x:c>
      <x:c r="F84" s="2" t="n">
        <x:v>5</x:v>
      </x:c>
      <x:c r="G84" s="2" t="n">
        <x:v>1</x:v>
      </x:c>
      <x:c r="H84" s="2" t="n">
        <x:v>3</x:v>
      </x:c>
      <x:c r="I84" s="2" t="n">
        <x:v>1</x:v>
      </x:c>
      <x:c r="J84" s="7" t="n">
        <x:v>2.7664740000000165</x:v>
      </x:c>
      <x:c r="K84" s="7" t="n">
        <x:f>IF(G84&gt;0,1,0)</x:f>
        <x:v>1</x:v>
      </x:c>
      <x:c r="L84" s="7" t="n">
        <x:f>IF(E84="",0,1/E84)</x:f>
        <x:v>0.25</x:v>
      </x:c>
      <x:c r="M84" s="7" t="n">
        <x:f>G84/F84</x:f>
        <x:v>0.2</x:v>
      </x:c>
      <x:c r="N84" s="7" t="n">
        <x:f>I84/H84</x:f>
        <x:v>0.3333333333333333</x:v>
      </x:c>
      <x:c r="O84" s="7" t="n">
        <x:f>IF(I84=H84,1,0)</x:f>
        <x:v>0</x:v>
      </x:c>
    </x:row>
    <x:row r="85" ht="23" customHeight="1">
      <x:c r="A85" s="2" t="str">
        <x:v>S013</x:v>
      </x:c>
      <x:c r="B85" s="2" t="str">
        <x:v>rerank40</x:v>
      </x:c>
      <x:c r="C85" s="2" t="str">
        <x:v>synthesis</x:v>
      </x:c>
      <x:c r="D85" s="2" t="str">
        <x:v>zh</x:v>
      </x:c>
      <x:c r="E85" s="2"/>
      <x:c r="F85" s="2" t="n">
        <x:v>5</x:v>
      </x:c>
      <x:c r="G85" s="2" t="n">
        <x:v>0</x:v>
      </x:c>
      <x:c r="H85" s="2" t="n">
        <x:v>3</x:v>
      </x:c>
      <x:c r="I85" s="2" t="n">
        <x:v>0</x:v>
      </x:c>
      <x:c r="J85" s="7" t="n">
        <x:v>18.37280230000033</x:v>
      </x:c>
      <x:c r="K85" s="7" t="n">
        <x:f>IF(G85&gt;0,1,0)</x:f>
        <x:v>0</x:v>
      </x:c>
      <x:c r="L85" s="7" t="n">
        <x:f>IF(E85="",0,1/E85)</x:f>
        <x:v>0</x:v>
      </x:c>
      <x:c r="M85" s="7" t="n">
        <x:f>G85/F85</x:f>
        <x:v>0</x:v>
      </x:c>
      <x:c r="N85" s="7" t="n">
        <x:f>I85/H85</x:f>
        <x:v>0</x:v>
      </x:c>
      <x:c r="O85" s="7" t="n">
        <x:f>IF(I85=H85,1,0)</x:f>
        <x:v>0</x:v>
      </x:c>
    </x:row>
    <x:row r="86" ht="23" customHeight="1">
      <x:c r="A86" s="2" t="str">
        <x:v>S013</x:v>
      </x:c>
      <x:c r="B86" s="2" t="str">
        <x:v>vector</x:v>
      </x:c>
      <x:c r="C86" s="2" t="str">
        <x:v>synthesis</x:v>
      </x:c>
      <x:c r="D86" s="2" t="str">
        <x:v>zh</x:v>
      </x:c>
      <x:c r="E86" s="2"/>
      <x:c r="F86" s="2" t="n">
        <x:v>5</x:v>
      </x:c>
      <x:c r="G86" s="2" t="n">
        <x:v>0</x:v>
      </x:c>
      <x:c r="H86" s="2" t="n">
        <x:v>3</x:v>
      </x:c>
      <x:c r="I86" s="2" t="n">
        <x:v>0</x:v>
      </x:c>
      <x:c r="J86" s="7" t="n">
        <x:v>0.09692419999919366</x:v>
      </x:c>
      <x:c r="K86" s="7" t="n">
        <x:f>IF(G86&gt;0,1,0)</x:f>
        <x:v>0</x:v>
      </x:c>
      <x:c r="L86" s="7" t="n">
        <x:f>IF(E86="",0,1/E86)</x:f>
        <x:v>0</x:v>
      </x:c>
      <x:c r="M86" s="7" t="n">
        <x:f>G86/F86</x:f>
        <x:v>0</x:v>
      </x:c>
      <x:c r="N86" s="7" t="n">
        <x:f>I86/H86</x:f>
        <x:v>0</x:v>
      </x:c>
      <x:c r="O86" s="7" t="n">
        <x:f>IF(I86=H86,1,0)</x:f>
        <x:v>0</x:v>
      </x:c>
    </x:row>
    <x:row r="87" ht="23" customHeight="1">
      <x:c r="A87" s="2" t="str">
        <x:v>S001</x:v>
      </x:c>
      <x:c r="B87" s="2" t="str">
        <x:v>rerank20</x:v>
      </x:c>
      <x:c r="C87" s="2" t="str">
        <x:v>synthesis</x:v>
      </x:c>
      <x:c r="D87" s="2" t="str">
        <x:v>zh</x:v>
      </x:c>
      <x:c r="E87" s="2"/>
      <x:c r="F87" s="2" t="n">
        <x:v>4</x:v>
      </x:c>
      <x:c r="G87" s="2" t="n">
        <x:v>0</x:v>
      </x:c>
      <x:c r="H87" s="2" t="n">
        <x:v>4</x:v>
      </x:c>
      <x:c r="I87" s="2" t="n">
        <x:v>0</x:v>
      </x:c>
      <x:c r="J87" s="7" t="n">
        <x:v>5.906694400000561</x:v>
      </x:c>
      <x:c r="K87" s="7" t="n">
        <x:f>IF(G87&gt;0,1,0)</x:f>
        <x:v>0</x:v>
      </x:c>
      <x:c r="L87" s="7" t="n">
        <x:f>IF(E87="",0,1/E87)</x:f>
        <x:v>0</x:v>
      </x:c>
      <x:c r="M87" s="7" t="n">
        <x:f>G87/F87</x:f>
        <x:v>0</x:v>
      </x:c>
      <x:c r="N87" s="7" t="n">
        <x:f>I87/H87</x:f>
        <x:v>0</x:v>
      </x:c>
      <x:c r="O87" s="7" t="n">
        <x:f>IF(I87=H87,1,0)</x:f>
        <x:v>0</x:v>
      </x:c>
    </x:row>
    <x:row r="88" ht="23" customHeight="1">
      <x:c r="A88" s="2" t="str">
        <x:v>S001</x:v>
      </x:c>
      <x:c r="B88" s="2" t="str">
        <x:v>rerank10</x:v>
      </x:c>
      <x:c r="C88" s="2" t="str">
        <x:v>synthesis</x:v>
      </x:c>
      <x:c r="D88" s="2" t="str">
        <x:v>zh</x:v>
      </x:c>
      <x:c r="E88" s="2"/>
      <x:c r="F88" s="2" t="n">
        <x:v>4</x:v>
      </x:c>
      <x:c r="G88" s="2" t="n">
        <x:v>0</x:v>
      </x:c>
      <x:c r="H88" s="2" t="n">
        <x:v>4</x:v>
      </x:c>
      <x:c r="I88" s="2" t="n">
        <x:v>0</x:v>
      </x:c>
      <x:c r="J88" s="7" t="n">
        <x:v>3.168281100002787</x:v>
      </x:c>
      <x:c r="K88" s="7" t="n">
        <x:f>IF(G88&gt;0,1,0)</x:f>
        <x:v>0</x:v>
      </x:c>
      <x:c r="L88" s="7" t="n">
        <x:f>IF(E88="",0,1/E88)</x:f>
        <x:v>0</x:v>
      </x:c>
      <x:c r="M88" s="7" t="n">
        <x:f>G88/F88</x:f>
        <x:v>0</x:v>
      </x:c>
      <x:c r="N88" s="7" t="n">
        <x:f>I88/H88</x:f>
        <x:v>0</x:v>
      </x:c>
      <x:c r="O88" s="7" t="n">
        <x:f>IF(I88=H88,1,0)</x:f>
        <x:v>0</x:v>
      </x:c>
    </x:row>
    <x:row r="89" ht="23" customHeight="1">
      <x:c r="A89" s="2" t="str">
        <x:v>S001</x:v>
      </x:c>
      <x:c r="B89" s="2" t="str">
        <x:v>rerank40</x:v>
      </x:c>
      <x:c r="C89" s="2" t="str">
        <x:v>synthesis</x:v>
      </x:c>
      <x:c r="D89" s="2" t="str">
        <x:v>zh</x:v>
      </x:c>
      <x:c r="E89" s="2"/>
      <x:c r="F89" s="2" t="n">
        <x:v>4</x:v>
      </x:c>
      <x:c r="G89" s="2" t="n">
        <x:v>0</x:v>
      </x:c>
      <x:c r="H89" s="2" t="n">
        <x:v>4</x:v>
      </x:c>
      <x:c r="I89" s="2" t="n">
        <x:v>0</x:v>
      </x:c>
      <x:c r="J89" s="7" t="n">
        <x:v>18.79694290000043</x:v>
      </x:c>
      <x:c r="K89" s="7" t="n">
        <x:f>IF(G89&gt;0,1,0)</x:f>
        <x:v>0</x:v>
      </x:c>
      <x:c r="L89" s="7" t="n">
        <x:f>IF(E89="",0,1/E89)</x:f>
        <x:v>0</x:v>
      </x:c>
      <x:c r="M89" s="7" t="n">
        <x:f>G89/F89</x:f>
        <x:v>0</x:v>
      </x:c>
      <x:c r="N89" s="7" t="n">
        <x:f>I89/H89</x:f>
        <x:v>0</x:v>
      </x:c>
      <x:c r="O89" s="7" t="n">
        <x:f>IF(I89=H89,1,0)</x:f>
        <x:v>0</x:v>
      </x:c>
    </x:row>
    <x:row r="90" ht="23" customHeight="1">
      <x:c r="A90" s="2" t="str">
        <x:v>S001</x:v>
      </x:c>
      <x:c r="B90" s="2" t="str">
        <x:v>vector</x:v>
      </x:c>
      <x:c r="C90" s="2" t="str">
        <x:v>synthesis</x:v>
      </x:c>
      <x:c r="D90" s="2" t="str">
        <x:v>zh</x:v>
      </x:c>
      <x:c r="E90" s="2"/>
      <x:c r="F90" s="2" t="n">
        <x:v>4</x:v>
      </x:c>
      <x:c r="G90" s="2" t="n">
        <x:v>0</x:v>
      </x:c>
      <x:c r="H90" s="2" t="n">
        <x:v>4</x:v>
      </x:c>
      <x:c r="I90" s="2" t="n">
        <x:v>0</x:v>
      </x:c>
      <x:c r="J90" s="7" t="n">
        <x:v>0.10161820000212174</x:v>
      </x:c>
      <x:c r="K90" s="7" t="n">
        <x:f>IF(G90&gt;0,1,0)</x:f>
        <x:v>0</x:v>
      </x:c>
      <x:c r="L90" s="7" t="n">
        <x:f>IF(E90="",0,1/E90)</x:f>
        <x:v>0</x:v>
      </x:c>
      <x:c r="M90" s="7" t="n">
        <x:f>G90/F90</x:f>
        <x:v>0</x:v>
      </x:c>
      <x:c r="N90" s="7" t="n">
        <x:f>I90/H90</x:f>
        <x:v>0</x:v>
      </x:c>
      <x:c r="O90" s="7" t="n">
        <x:f>IF(I90=H90,1,0)</x:f>
        <x:v>0</x:v>
      </x:c>
    </x:row>
    <x:row r="91" ht="23" customHeight="1">
      <x:c r="A91" s="2" t="str">
        <x:v>S001</x:v>
      </x:c>
      <x:c r="B91" s="2" t="str">
        <x:v>hybrid</x:v>
      </x:c>
      <x:c r="C91" s="2" t="str">
        <x:v>synthesis</x:v>
      </x:c>
      <x:c r="D91" s="2" t="str">
        <x:v>zh</x:v>
      </x:c>
      <x:c r="E91" s="2"/>
      <x:c r="F91" s="2" t="n">
        <x:v>4</x:v>
      </x:c>
      <x:c r="G91" s="2" t="n">
        <x:v>0</x:v>
      </x:c>
      <x:c r="H91" s="2" t="n">
        <x:v>4</x:v>
      </x:c>
      <x:c r="I91" s="2" t="n">
        <x:v>0</x:v>
      </x:c>
      <x:c r="J91" s="7" t="n">
        <x:v>0.18511779999971623</x:v>
      </x:c>
      <x:c r="K91" s="7" t="n">
        <x:f>IF(G91&gt;0,1,0)</x:f>
        <x:v>0</x:v>
      </x:c>
      <x:c r="L91" s="7" t="n">
        <x:f>IF(E91="",0,1/E91)</x:f>
        <x:v>0</x:v>
      </x:c>
      <x:c r="M91" s="7" t="n">
        <x:f>G91/F91</x:f>
        <x:v>0</x:v>
      </x:c>
      <x:c r="N91" s="7" t="n">
        <x:f>I91/H91</x:f>
        <x:v>0</x:v>
      </x:c>
      <x:c r="O91" s="7" t="n">
        <x:f>IF(I91=H91,1,0)</x:f>
        <x:v>0</x:v>
      </x:c>
    </x:row>
    <x:row r="92" ht="23" customHeight="1">
      <x:c r="A92" s="2" t="str">
        <x:v>R004</x:v>
      </x:c>
      <x:c r="B92" s="2" t="str">
        <x:v>rerank10</x:v>
      </x:c>
      <x:c r="C92" s="2" t="str">
        <x:v>reasoning</x:v>
      </x:c>
      <x:c r="D92" s="2" t="str">
        <x:v>zh</x:v>
      </x:c>
      <x:c r="E92" s="2" t="n">
        <x:v>1</x:v>
      </x:c>
      <x:c r="F92" s="2" t="n">
        <x:v>2</x:v>
      </x:c>
      <x:c r="G92" s="2" t="n">
        <x:v>1</x:v>
      </x:c>
      <x:c r="H92" s="2" t="n">
        <x:v>1</x:v>
      </x:c>
      <x:c r="I92" s="2" t="n">
        <x:v>1</x:v>
      </x:c>
      <x:c r="J92" s="7" t="n">
        <x:v>2.6167094000011275</x:v>
      </x:c>
      <x:c r="K92" s="7" t="n">
        <x:f>IF(G92&gt;0,1,0)</x:f>
        <x:v>1</x:v>
      </x:c>
      <x:c r="L92" s="7" t="n">
        <x:f>IF(E92="",0,1/E92)</x:f>
        <x:v>1</x:v>
      </x:c>
      <x:c r="M92" s="7" t="n">
        <x:f>G92/F92</x:f>
        <x:v>0.5</x:v>
      </x:c>
      <x:c r="N92" s="7" t="n">
        <x:f>I92/H92</x:f>
        <x:v>1</x:v>
      </x:c>
      <x:c r="O92" s="7" t="n">
        <x:f>IF(I92=H92,1,0)</x:f>
        <x:v>1</x:v>
      </x:c>
    </x:row>
    <x:row r="93" ht="23" customHeight="1">
      <x:c r="A93" s="2" t="str">
        <x:v>R004</x:v>
      </x:c>
      <x:c r="B93" s="2" t="str">
        <x:v>rerank40</x:v>
      </x:c>
      <x:c r="C93" s="2" t="str">
        <x:v>reasoning</x:v>
      </x:c>
      <x:c r="D93" s="2" t="str">
        <x:v>zh</x:v>
      </x:c>
      <x:c r="E93" s="2" t="n">
        <x:v>1</x:v>
      </x:c>
      <x:c r="F93" s="2" t="n">
        <x:v>2</x:v>
      </x:c>
      <x:c r="G93" s="2" t="n">
        <x:v>1</x:v>
      </x:c>
      <x:c r="H93" s="2" t="n">
        <x:v>1</x:v>
      </x:c>
      <x:c r="I93" s="2" t="n">
        <x:v>1</x:v>
      </x:c>
      <x:c r="J93" s="7" t="n">
        <x:v>15.912762699997984</x:v>
      </x:c>
      <x:c r="K93" s="7" t="n">
        <x:f>IF(G93&gt;0,1,0)</x:f>
        <x:v>1</x:v>
      </x:c>
      <x:c r="L93" s="7" t="n">
        <x:f>IF(E93="",0,1/E93)</x:f>
        <x:v>1</x:v>
      </x:c>
      <x:c r="M93" s="7" t="n">
        <x:f>G93/F93</x:f>
        <x:v>0.5</x:v>
      </x:c>
      <x:c r="N93" s="7" t="n">
        <x:f>I93/H93</x:f>
        <x:v>1</x:v>
      </x:c>
      <x:c r="O93" s="7" t="n">
        <x:f>IF(I93=H93,1,0)</x:f>
        <x:v>1</x:v>
      </x:c>
    </x:row>
    <x:row r="94" ht="23" customHeight="1">
      <x:c r="A94" s="2" t="str">
        <x:v>R004</x:v>
      </x:c>
      <x:c r="B94" s="2" t="str">
        <x:v>vector</x:v>
      </x:c>
      <x:c r="C94" s="2" t="str">
        <x:v>reasoning</x:v>
      </x:c>
      <x:c r="D94" s="2" t="str">
        <x:v>zh</x:v>
      </x:c>
      <x:c r="E94" s="2"/>
      <x:c r="F94" s="2" t="n">
        <x:v>2</x:v>
      </x:c>
      <x:c r="G94" s="2" t="n">
        <x:v>0</x:v>
      </x:c>
      <x:c r="H94" s="2" t="n">
        <x:v>1</x:v>
      </x:c>
      <x:c r="I94" s="2" t="n">
        <x:v>0</x:v>
      </x:c>
      <x:c r="J94" s="7" t="n">
        <x:v>0.09868579999965732</x:v>
      </x:c>
      <x:c r="K94" s="7" t="n">
        <x:f>IF(G94&gt;0,1,0)</x:f>
        <x:v>0</x:v>
      </x:c>
      <x:c r="L94" s="7" t="n">
        <x:f>IF(E94="",0,1/E94)</x:f>
        <x:v>0</x:v>
      </x:c>
      <x:c r="M94" s="7" t="n">
        <x:f>G94/F94</x:f>
        <x:v>0</x:v>
      </x:c>
      <x:c r="N94" s="7" t="n">
        <x:f>I94/H94</x:f>
        <x:v>0</x:v>
      </x:c>
      <x:c r="O94" s="7" t="n">
        <x:f>IF(I94=H94,1,0)</x:f>
        <x:v>0</x:v>
      </x:c>
    </x:row>
    <x:row r="95" ht="23" customHeight="1">
      <x:c r="A95" s="2" t="str">
        <x:v>R004</x:v>
      </x:c>
      <x:c r="B95" s="2" t="str">
        <x:v>hybrid</x:v>
      </x:c>
      <x:c r="C95" s="2" t="str">
        <x:v>reasoning</x:v>
      </x:c>
      <x:c r="D95" s="2" t="str">
        <x:v>zh</x:v>
      </x:c>
      <x:c r="E95" s="2" t="n">
        <x:v>3</x:v>
      </x:c>
      <x:c r="F95" s="2" t="n">
        <x:v>2</x:v>
      </x:c>
      <x:c r="G95" s="2" t="n">
        <x:v>1</x:v>
      </x:c>
      <x:c r="H95" s="2" t="n">
        <x:v>1</x:v>
      </x:c>
      <x:c r="I95" s="2" t="n">
        <x:v>1</x:v>
      </x:c>
      <x:c r="J95" s="7" t="n">
        <x:v>0.18894519999957993</x:v>
      </x:c>
      <x:c r="K95" s="7" t="n">
        <x:f>IF(G95&gt;0,1,0)</x:f>
        <x:v>1</x:v>
      </x:c>
      <x:c r="L95" s="7" t="n">
        <x:f>IF(E95="",0,1/E95)</x:f>
        <x:v>0.3333333333333333</x:v>
      </x:c>
      <x:c r="M95" s="7" t="n">
        <x:f>G95/F95</x:f>
        <x:v>0.5</x:v>
      </x:c>
      <x:c r="N95" s="7" t="n">
        <x:f>I95/H95</x:f>
        <x:v>1</x:v>
      </x:c>
      <x:c r="O95" s="7" t="n">
        <x:f>IF(I95=H95,1,0)</x:f>
        <x:v>1</x:v>
      </x:c>
    </x:row>
    <x:row r="96" ht="23" customHeight="1">
      <x:c r="A96" s="2" t="str">
        <x:v>R004</x:v>
      </x:c>
      <x:c r="B96" s="2" t="str">
        <x:v>rerank20</x:v>
      </x:c>
      <x:c r="C96" s="2" t="str">
        <x:v>reasoning</x:v>
      </x:c>
      <x:c r="D96" s="2" t="str">
        <x:v>zh</x:v>
      </x:c>
      <x:c r="E96" s="2" t="n">
        <x:v>1</x:v>
      </x:c>
      <x:c r="F96" s="2" t="n">
        <x:v>2</x:v>
      </x:c>
      <x:c r="G96" s="2" t="n">
        <x:v>1</x:v>
      </x:c>
      <x:c r="H96" s="2" t="n">
        <x:v>1</x:v>
      </x:c>
      <x:c r="I96" s="2" t="n">
        <x:v>1</x:v>
      </x:c>
      <x:c r="J96" s="7" t="n">
        <x:v>7.014324399999168</x:v>
      </x:c>
      <x:c r="K96" s="7" t="n">
        <x:f>IF(G96&gt;0,1,0)</x:f>
        <x:v>1</x:v>
      </x:c>
      <x:c r="L96" s="7" t="n">
        <x:f>IF(E96="",0,1/E96)</x:f>
        <x:v>1</x:v>
      </x:c>
      <x:c r="M96" s="7" t="n">
        <x:f>G96/F96</x:f>
        <x:v>0.5</x:v>
      </x:c>
      <x:c r="N96" s="7" t="n">
        <x:f>I96/H96</x:f>
        <x:v>1</x:v>
      </x:c>
      <x:c r="O96" s="7" t="n">
        <x:f>IF(I96=H96,1,0)</x:f>
        <x:v>1</x:v>
      </x:c>
    </x:row>
    <x:row r="97" ht="23" customHeight="1">
      <x:c r="A97" s="2" t="str">
        <x:v>F008</x:v>
      </x:c>
      <x:c r="B97" s="2" t="str">
        <x:v>rerank40</x:v>
      </x:c>
      <x:c r="C97" s="2" t="str">
        <x:v>fact</x:v>
      </x:c>
      <x:c r="D97" s="2" t="str">
        <x:v>en</x:v>
      </x:c>
      <x:c r="E97" s="2"/>
      <x:c r="F97" s="2" t="n">
        <x:v>1</x:v>
      </x:c>
      <x:c r="G97" s="2" t="n">
        <x:v>0</x:v>
      </x:c>
      <x:c r="H97" s="2" t="n">
        <x:v>1</x:v>
      </x:c>
      <x:c r="I97" s="2" t="n">
        <x:v>0</x:v>
      </x:c>
      <x:c r="J97" s="7" t="n">
        <x:v>9.2717530000009</x:v>
      </x:c>
      <x:c r="K97" s="7" t="n">
        <x:f>IF(G97&gt;0,1,0)</x:f>
        <x:v>0</x:v>
      </x:c>
      <x:c r="L97" s="7" t="n">
        <x:f>IF(E97="",0,1/E97)</x:f>
        <x:v>0</x:v>
      </x:c>
      <x:c r="M97" s="7" t="n">
        <x:f>G97/F97</x:f>
        <x:v>0</x:v>
      </x:c>
      <x:c r="N97" s="7" t="n">
        <x:f>I97/H97</x:f>
        <x:v>0</x:v>
      </x:c>
      <x:c r="O97" s="7" t="n">
        <x:f>IF(I97=H97,1,0)</x:f>
        <x:v>0</x:v>
      </x:c>
    </x:row>
    <x:row r="98" ht="23" customHeight="1">
      <x:c r="A98" s="2" t="str">
        <x:v>F008</x:v>
      </x:c>
      <x:c r="B98" s="2" t="str">
        <x:v>vector</x:v>
      </x:c>
      <x:c r="C98" s="2" t="str">
        <x:v>fact</x:v>
      </x:c>
      <x:c r="D98" s="2" t="str">
        <x:v>en</x:v>
      </x:c>
      <x:c r="E98" s="2"/>
      <x:c r="F98" s="2" t="n">
        <x:v>1</x:v>
      </x:c>
      <x:c r="G98" s="2" t="n">
        <x:v>0</x:v>
      </x:c>
      <x:c r="H98" s="2" t="n">
        <x:v>1</x:v>
      </x:c>
      <x:c r="I98" s="2" t="n">
        <x:v>0</x:v>
      </x:c>
      <x:c r="J98" s="7" t="n">
        <x:v>0.0839683000012883</x:v>
      </x:c>
      <x:c r="K98" s="7" t="n">
        <x:f>IF(G98&gt;0,1,0)</x:f>
        <x:v>0</x:v>
      </x:c>
      <x:c r="L98" s="7" t="n">
        <x:f>IF(E98="",0,1/E98)</x:f>
        <x:v>0</x:v>
      </x:c>
      <x:c r="M98" s="7" t="n">
        <x:f>G98/F98</x:f>
        <x:v>0</x:v>
      </x:c>
      <x:c r="N98" s="7" t="n">
        <x:f>I98/H98</x:f>
        <x:v>0</x:v>
      </x:c>
      <x:c r="O98" s="7" t="n">
        <x:f>IF(I98=H98,1,0)</x:f>
        <x:v>0</x:v>
      </x:c>
    </x:row>
    <x:row r="99" ht="23" customHeight="1">
      <x:c r="A99" s="2" t="str">
        <x:v>F008</x:v>
      </x:c>
      <x:c r="B99" s="2" t="str">
        <x:v>hybrid</x:v>
      </x:c>
      <x:c r="C99" s="2" t="str">
        <x:v>fact</x:v>
      </x:c>
      <x:c r="D99" s="2" t="str">
        <x:v>en</x:v>
      </x:c>
      <x:c r="E99" s="2"/>
      <x:c r="F99" s="2" t="n">
        <x:v>1</x:v>
      </x:c>
      <x:c r="G99" s="2" t="n">
        <x:v>0</x:v>
      </x:c>
      <x:c r="H99" s="2" t="n">
        <x:v>1</x:v>
      </x:c>
      <x:c r="I99" s="2" t="n">
        <x:v>0</x:v>
      </x:c>
      <x:c r="J99" s="7" t="n">
        <x:v>0.15262889999939944</x:v>
      </x:c>
      <x:c r="K99" s="7" t="n">
        <x:f>IF(G99&gt;0,1,0)</x:f>
        <x:v>0</x:v>
      </x:c>
      <x:c r="L99" s="7" t="n">
        <x:f>IF(E99="",0,1/E99)</x:f>
        <x:v>0</x:v>
      </x:c>
      <x:c r="M99" s="7" t="n">
        <x:f>G99/F99</x:f>
        <x:v>0</x:v>
      </x:c>
      <x:c r="N99" s="7" t="n">
        <x:f>I99/H99</x:f>
        <x:v>0</x:v>
      </x:c>
      <x:c r="O99" s="7" t="n">
        <x:f>IF(I99=H99,1,0)</x:f>
        <x:v>0</x:v>
      </x:c>
    </x:row>
    <x:row r="100" ht="23" customHeight="1">
      <x:c r="A100" s="2" t="str">
        <x:v>F008</x:v>
      </x:c>
      <x:c r="B100" s="2" t="str">
        <x:v>rerank20</x:v>
      </x:c>
      <x:c r="C100" s="2" t="str">
        <x:v>fact</x:v>
      </x:c>
      <x:c r="D100" s="2" t="str">
        <x:v>en</x:v>
      </x:c>
      <x:c r="E100" s="2" t="n">
        <x:v>3</x:v>
      </x:c>
      <x:c r="F100" s="2" t="n">
        <x:v>1</x:v>
      </x:c>
      <x:c r="G100" s="2" t="n">
        <x:v>1</x:v>
      </x:c>
      <x:c r="H100" s="2" t="n">
        <x:v>1</x:v>
      </x:c>
      <x:c r="I100" s="2" t="n">
        <x:v>1</x:v>
      </x:c>
      <x:c r="J100" s="7" t="n">
        <x:v>4.443099899999652</x:v>
      </x:c>
      <x:c r="K100" s="7" t="n">
        <x:f>IF(G100&gt;0,1,0)</x:f>
        <x:v>1</x:v>
      </x:c>
      <x:c r="L100" s="7" t="n">
        <x:f>IF(E100="",0,1/E100)</x:f>
        <x:v>0.3333333333333333</x:v>
      </x:c>
      <x:c r="M100" s="7" t="n">
        <x:f>G100/F100</x:f>
        <x:v>1</x:v>
      </x:c>
      <x:c r="N100" s="7" t="n">
        <x:f>I100/H100</x:f>
        <x:v>1</x:v>
      </x:c>
      <x:c r="O100" s="7" t="n">
        <x:f>IF(I100=H100,1,0)</x:f>
        <x:v>1</x:v>
      </x:c>
    </x:row>
    <x:row r="101" ht="23" customHeight="1">
      <x:c r="A101" s="2" t="str">
        <x:v>F008</x:v>
      </x:c>
      <x:c r="B101" s="2" t="str">
        <x:v>rerank10</x:v>
      </x:c>
      <x:c r="C101" s="2" t="str">
        <x:v>fact</x:v>
      </x:c>
      <x:c r="D101" s="2" t="str">
        <x:v>en</x:v>
      </x:c>
      <x:c r="E101" s="2"/>
      <x:c r="F101" s="2" t="n">
        <x:v>1</x:v>
      </x:c>
      <x:c r="G101" s="2" t="n">
        <x:v>0</x:v>
      </x:c>
      <x:c r="H101" s="2" t="n">
        <x:v>1</x:v>
      </x:c>
      <x:c r="I101" s="2" t="n">
        <x:v>0</x:v>
      </x:c>
      <x:c r="J101" s="7" t="n">
        <x:v>2.5612897999999404</x:v>
      </x:c>
      <x:c r="K101" s="7" t="n">
        <x:f>IF(G101&gt;0,1,0)</x:f>
        <x:v>0</x:v>
      </x:c>
      <x:c r="L101" s="7" t="n">
        <x:f>IF(E101="",0,1/E101)</x:f>
        <x:v>0</x:v>
      </x:c>
      <x:c r="M101" s="7" t="n">
        <x:f>G101/F101</x:f>
        <x:v>0</x:v>
      </x:c>
      <x:c r="N101" s="7" t="n">
        <x:f>I101/H101</x:f>
        <x:v>0</x:v>
      </x:c>
      <x:c r="O101" s="7" t="n">
        <x:f>IF(I101=H101,1,0)</x:f>
        <x:v>0</x:v>
      </x:c>
    </x:row>
    <x:row r="102" ht="23" customHeight="1">
      <x:c r="A102" s="2" t="str">
        <x:v>F009</x:v>
      </x:c>
      <x:c r="B102" s="2" t="str">
        <x:v>vector</x:v>
      </x:c>
      <x:c r="C102" s="2" t="str">
        <x:v>fact</x:v>
      </x:c>
      <x:c r="D102" s="2" t="str">
        <x:v>zh</x:v>
      </x:c>
      <x:c r="E102" s="2"/>
      <x:c r="F102" s="2" t="n">
        <x:v>1</x:v>
      </x:c>
      <x:c r="G102" s="2" t="n">
        <x:v>0</x:v>
      </x:c>
      <x:c r="H102" s="2" t="n">
        <x:v>1</x:v>
      </x:c>
      <x:c r="I102" s="2" t="n">
        <x:v>0</x:v>
      </x:c>
      <x:c r="J102" s="7" t="n">
        <x:v>0.08533209999950486</x:v>
      </x:c>
      <x:c r="K102" s="7" t="n">
        <x:f>IF(G102&gt;0,1,0)</x:f>
        <x:v>0</x:v>
      </x:c>
      <x:c r="L102" s="7" t="n">
        <x:f>IF(E102="",0,1/E102)</x:f>
        <x:v>0</x:v>
      </x:c>
      <x:c r="M102" s="7" t="n">
        <x:f>G102/F102</x:f>
        <x:v>0</x:v>
      </x:c>
      <x:c r="N102" s="7" t="n">
        <x:f>I102/H102</x:f>
        <x:v>0</x:v>
      </x:c>
      <x:c r="O102" s="7" t="n">
        <x:f>IF(I102=H102,1,0)</x:f>
        <x:v>0</x:v>
      </x:c>
    </x:row>
    <x:row r="103" ht="23" customHeight="1">
      <x:c r="A103" s="2" t="str">
        <x:v>F009</x:v>
      </x:c>
      <x:c r="B103" s="2" t="str">
        <x:v>hybrid</x:v>
      </x:c>
      <x:c r="C103" s="2" t="str">
        <x:v>fact</x:v>
      </x:c>
      <x:c r="D103" s="2" t="str">
        <x:v>zh</x:v>
      </x:c>
      <x:c r="E103" s="2"/>
      <x:c r="F103" s="2" t="n">
        <x:v>1</x:v>
      </x:c>
      <x:c r="G103" s="2" t="n">
        <x:v>0</x:v>
      </x:c>
      <x:c r="H103" s="2" t="n">
        <x:v>1</x:v>
      </x:c>
      <x:c r="I103" s="2" t="n">
        <x:v>0</x:v>
      </x:c>
      <x:c r="J103" s="7" t="n">
        <x:v>0.14926829999967595</x:v>
      </x:c>
      <x:c r="K103" s="7" t="n">
        <x:f>IF(G103&gt;0,1,0)</x:f>
        <x:v>0</x:v>
      </x:c>
      <x:c r="L103" s="7" t="n">
        <x:f>IF(E103="",0,1/E103)</x:f>
        <x:v>0</x:v>
      </x:c>
      <x:c r="M103" s="7" t="n">
        <x:f>G103/F103</x:f>
        <x:v>0</x:v>
      </x:c>
      <x:c r="N103" s="7" t="n">
        <x:f>I103/H103</x:f>
        <x:v>0</x:v>
      </x:c>
      <x:c r="O103" s="7" t="n">
        <x:f>IF(I103=H103,1,0)</x:f>
        <x:v>0</x:v>
      </x:c>
    </x:row>
    <x:row r="104" ht="23" customHeight="1">
      <x:c r="A104" s="2" t="str">
        <x:v>F009</x:v>
      </x:c>
      <x:c r="B104" s="2" t="str">
        <x:v>rerank20</x:v>
      </x:c>
      <x:c r="C104" s="2" t="str">
        <x:v>fact</x:v>
      </x:c>
      <x:c r="D104" s="2" t="str">
        <x:v>zh</x:v>
      </x:c>
      <x:c r="E104" s="2"/>
      <x:c r="F104" s="2" t="n">
        <x:v>1</x:v>
      </x:c>
      <x:c r="G104" s="2" t="n">
        <x:v>0</x:v>
      </x:c>
      <x:c r="H104" s="2" t="n">
        <x:v>1</x:v>
      </x:c>
      <x:c r="I104" s="2" t="n">
        <x:v>0</x:v>
      </x:c>
      <x:c r="J104" s="7" t="n">
        <x:v>11.270037800000864</x:v>
      </x:c>
      <x:c r="K104" s="7" t="n">
        <x:f>IF(G104&gt;0,1,0)</x:f>
        <x:v>0</x:v>
      </x:c>
      <x:c r="L104" s="7" t="n">
        <x:f>IF(E104="",0,1/E104)</x:f>
        <x:v>0</x:v>
      </x:c>
      <x:c r="M104" s="7" t="n">
        <x:f>G104/F104</x:f>
        <x:v>0</x:v>
      </x:c>
      <x:c r="N104" s="7" t="n">
        <x:f>I104/H104</x:f>
        <x:v>0</x:v>
      </x:c>
      <x:c r="O104" s="7" t="n">
        <x:f>IF(I104=H104,1,0)</x:f>
        <x:v>0</x:v>
      </x:c>
    </x:row>
    <x:row r="105" ht="23" customHeight="1">
      <x:c r="A105" s="2" t="str">
        <x:v>F009</x:v>
      </x:c>
      <x:c r="B105" s="2" t="str">
        <x:v>rerank10</x:v>
      </x:c>
      <x:c r="C105" s="2" t="str">
        <x:v>fact</x:v>
      </x:c>
      <x:c r="D105" s="2" t="str">
        <x:v>zh</x:v>
      </x:c>
      <x:c r="E105" s="2"/>
      <x:c r="F105" s="2" t="n">
        <x:v>1</x:v>
      </x:c>
      <x:c r="G105" s="2" t="n">
        <x:v>0</x:v>
      </x:c>
      <x:c r="H105" s="2" t="n">
        <x:v>1</x:v>
      </x:c>
      <x:c r="I105" s="2" t="n">
        <x:v>0</x:v>
      </x:c>
      <x:c r="J105" s="7" t="n">
        <x:v>6.980915399999503</x:v>
      </x:c>
      <x:c r="K105" s="7" t="n">
        <x:f>IF(G105&gt;0,1,0)</x:f>
        <x:v>0</x:v>
      </x:c>
      <x:c r="L105" s="7" t="n">
        <x:f>IF(E105="",0,1/E105)</x:f>
        <x:v>0</x:v>
      </x:c>
      <x:c r="M105" s="7" t="n">
        <x:f>G105/F105</x:f>
        <x:v>0</x:v>
      </x:c>
      <x:c r="N105" s="7" t="n">
        <x:f>I105/H105</x:f>
        <x:v>0</x:v>
      </x:c>
      <x:c r="O105" s="7" t="n">
        <x:f>IF(I105=H105,1,0)</x:f>
        <x:v>0</x:v>
      </x:c>
    </x:row>
    <x:row r="106" ht="23" customHeight="1">
      <x:c r="A106" s="2" t="str">
        <x:v>F009</x:v>
      </x:c>
      <x:c r="B106" s="2" t="str">
        <x:v>rerank40</x:v>
      </x:c>
      <x:c r="C106" s="2" t="str">
        <x:v>fact</x:v>
      </x:c>
      <x:c r="D106" s="2" t="str">
        <x:v>zh</x:v>
      </x:c>
      <x:c r="E106" s="2"/>
      <x:c r="F106" s="2" t="n">
        <x:v>1</x:v>
      </x:c>
      <x:c r="G106" s="2" t="n">
        <x:v>0</x:v>
      </x:c>
      <x:c r="H106" s="2" t="n">
        <x:v>1</x:v>
      </x:c>
      <x:c r="I106" s="2" t="n">
        <x:v>0</x:v>
      </x:c>
      <x:c r="J106" s="7" t="n">
        <x:v>16.084648100000777</x:v>
      </x:c>
      <x:c r="K106" s="7" t="n">
        <x:f>IF(G106&gt;0,1,0)</x:f>
        <x:v>0</x:v>
      </x:c>
      <x:c r="L106" s="7" t="n">
        <x:f>IF(E106="",0,1/E106)</x:f>
        <x:v>0</x:v>
      </x:c>
      <x:c r="M106" s="7" t="n">
        <x:f>G106/F106</x:f>
        <x:v>0</x:v>
      </x:c>
      <x:c r="N106" s="7" t="n">
        <x:f>I106/H106</x:f>
        <x:v>0</x:v>
      </x:c>
      <x:c r="O106" s="7" t="n">
        <x:f>IF(I106=H106,1,0)</x:f>
        <x:v>0</x:v>
      </x:c>
    </x:row>
    <x:row r="107" ht="23" customHeight="1">
      <x:c r="A107" s="2" t="str">
        <x:v>S003</x:v>
      </x:c>
      <x:c r="B107" s="2" t="str">
        <x:v>hybrid</x:v>
      </x:c>
      <x:c r="C107" s="2" t="str">
        <x:v>synthesis</x:v>
      </x:c>
      <x:c r="D107" s="2" t="str">
        <x:v>zh</x:v>
      </x:c>
      <x:c r="E107" s="2"/>
      <x:c r="F107" s="2" t="n">
        <x:v>3</x:v>
      </x:c>
      <x:c r="G107" s="2" t="n">
        <x:v>0</x:v>
      </x:c>
      <x:c r="H107" s="2" t="n">
        <x:v>3</x:v>
      </x:c>
      <x:c r="I107" s="2" t="n">
        <x:v>0</x:v>
      </x:c>
      <x:c r="J107" s="7" t="n">
        <x:v>0.1873018999976921</x:v>
      </x:c>
      <x:c r="K107" s="7" t="n">
        <x:f>IF(G107&gt;0,1,0)</x:f>
        <x:v>0</x:v>
      </x:c>
      <x:c r="L107" s="7" t="n">
        <x:f>IF(E107="",0,1/E107)</x:f>
        <x:v>0</x:v>
      </x:c>
      <x:c r="M107" s="7" t="n">
        <x:f>G107/F107</x:f>
        <x:v>0</x:v>
      </x:c>
      <x:c r="N107" s="7" t="n">
        <x:f>I107/H107</x:f>
        <x:v>0</x:v>
      </x:c>
      <x:c r="O107" s="7" t="n">
        <x:f>IF(I107=H107,1,0)</x:f>
        <x:v>0</x:v>
      </x:c>
    </x:row>
    <x:row r="108" ht="23" customHeight="1">
      <x:c r="A108" s="2" t="str">
        <x:v>S003</x:v>
      </x:c>
      <x:c r="B108" s="2" t="str">
        <x:v>rerank20</x:v>
      </x:c>
      <x:c r="C108" s="2" t="str">
        <x:v>synthesis</x:v>
      </x:c>
      <x:c r="D108" s="2" t="str">
        <x:v>zh</x:v>
      </x:c>
      <x:c r="E108" s="2"/>
      <x:c r="F108" s="2" t="n">
        <x:v>3</x:v>
      </x:c>
      <x:c r="G108" s="2" t="n">
        <x:v>0</x:v>
      </x:c>
      <x:c r="H108" s="2" t="n">
        <x:v>3</x:v>
      </x:c>
      <x:c r="I108" s="2" t="n">
        <x:v>0</x:v>
      </x:c>
      <x:c r="J108" s="7" t="n">
        <x:v>5.4032431000014185</x:v>
      </x:c>
      <x:c r="K108" s="7" t="n">
        <x:f>IF(G108&gt;0,1,0)</x:f>
        <x:v>0</x:v>
      </x:c>
      <x:c r="L108" s="7" t="n">
        <x:f>IF(E108="",0,1/E108)</x:f>
        <x:v>0</x:v>
      </x:c>
      <x:c r="M108" s="7" t="n">
        <x:f>G108/F108</x:f>
        <x:v>0</x:v>
      </x:c>
      <x:c r="N108" s="7" t="n">
        <x:f>I108/H108</x:f>
        <x:v>0</x:v>
      </x:c>
      <x:c r="O108" s="7" t="n">
        <x:f>IF(I108=H108,1,0)</x:f>
        <x:v>0</x:v>
      </x:c>
    </x:row>
    <x:row r="109" ht="23" customHeight="1">
      <x:c r="A109" s="2" t="str">
        <x:v>S003</x:v>
      </x:c>
      <x:c r="B109" s="2" t="str">
        <x:v>rerank10</x:v>
      </x:c>
      <x:c r="C109" s="2" t="str">
        <x:v>synthesis</x:v>
      </x:c>
      <x:c r="D109" s="2" t="str">
        <x:v>zh</x:v>
      </x:c>
      <x:c r="E109" s="2"/>
      <x:c r="F109" s="2" t="n">
        <x:v>3</x:v>
      </x:c>
      <x:c r="G109" s="2" t="n">
        <x:v>0</x:v>
      </x:c>
      <x:c r="H109" s="2" t="n">
        <x:v>3</x:v>
      </x:c>
      <x:c r="I109" s="2" t="n">
        <x:v>0</x:v>
      </x:c>
      <x:c r="J109" s="7" t="n">
        <x:v>2.7510890000012296</x:v>
      </x:c>
      <x:c r="K109" s="7" t="n">
        <x:f>IF(G109&gt;0,1,0)</x:f>
        <x:v>0</x:v>
      </x:c>
      <x:c r="L109" s="7" t="n">
        <x:f>IF(E109="",0,1/E109)</x:f>
        <x:v>0</x:v>
      </x:c>
      <x:c r="M109" s="7" t="n">
        <x:f>G109/F109</x:f>
        <x:v>0</x:v>
      </x:c>
      <x:c r="N109" s="7" t="n">
        <x:f>I109/H109</x:f>
        <x:v>0</x:v>
      </x:c>
      <x:c r="O109" s="7" t="n">
        <x:f>IF(I109=H109,1,0)</x:f>
        <x:v>0</x:v>
      </x:c>
    </x:row>
    <x:row r="110" ht="23" customHeight="1">
      <x:c r="A110" s="2" t="str">
        <x:v>S003</x:v>
      </x:c>
      <x:c r="B110" s="2" t="str">
        <x:v>rerank40</x:v>
      </x:c>
      <x:c r="C110" s="2" t="str">
        <x:v>synthesis</x:v>
      </x:c>
      <x:c r="D110" s="2" t="str">
        <x:v>zh</x:v>
      </x:c>
      <x:c r="E110" s="2"/>
      <x:c r="F110" s="2" t="n">
        <x:v>3</x:v>
      </x:c>
      <x:c r="G110" s="2" t="n">
        <x:v>0</x:v>
      </x:c>
      <x:c r="H110" s="2" t="n">
        <x:v>3</x:v>
      </x:c>
      <x:c r="I110" s="2" t="n">
        <x:v>0</x:v>
      </x:c>
      <x:c r="J110" s="7" t="n">
        <x:v>14.795419300000503</x:v>
      </x:c>
      <x:c r="K110" s="7" t="n">
        <x:f>IF(G110&gt;0,1,0)</x:f>
        <x:v>0</x:v>
      </x:c>
      <x:c r="L110" s="7" t="n">
        <x:f>IF(E110="",0,1/E110)</x:f>
        <x:v>0</x:v>
      </x:c>
      <x:c r="M110" s="7" t="n">
        <x:f>G110/F110</x:f>
        <x:v>0</x:v>
      </x:c>
      <x:c r="N110" s="7" t="n">
        <x:f>I110/H110</x:f>
        <x:v>0</x:v>
      </x:c>
      <x:c r="O110" s="7" t="n">
        <x:f>IF(I110=H110,1,0)</x:f>
        <x:v>0</x:v>
      </x:c>
    </x:row>
    <x:row r="111" ht="23" customHeight="1">
      <x:c r="A111" s="2" t="str">
        <x:v>S003</x:v>
      </x:c>
      <x:c r="B111" s="2" t="str">
        <x:v>vector</x:v>
      </x:c>
      <x:c r="C111" s="2" t="str">
        <x:v>synthesis</x:v>
      </x:c>
      <x:c r="D111" s="2" t="str">
        <x:v>zh</x:v>
      </x:c>
      <x:c r="E111" s="2"/>
      <x:c r="F111" s="2" t="n">
        <x:v>3</x:v>
      </x:c>
      <x:c r="G111" s="2" t="n">
        <x:v>0</x:v>
      </x:c>
      <x:c r="H111" s="2" t="n">
        <x:v>3</x:v>
      </x:c>
      <x:c r="I111" s="2" t="n">
        <x:v>0</x:v>
      </x:c>
      <x:c r="J111" s="7" t="n">
        <x:v>0.0985995000010007</x:v>
      </x:c>
      <x:c r="K111" s="7" t="n">
        <x:f>IF(G111&gt;0,1,0)</x:f>
        <x:v>0</x:v>
      </x:c>
      <x:c r="L111" s="7" t="n">
        <x:f>IF(E111="",0,1/E111)</x:f>
        <x:v>0</x:v>
      </x:c>
      <x:c r="M111" s="7" t="n">
        <x:f>G111/F111</x:f>
        <x:v>0</x:v>
      </x:c>
      <x:c r="N111" s="7" t="n">
        <x:f>I111/H111</x:f>
        <x:v>0</x:v>
      </x:c>
      <x:c r="O111" s="7" t="n">
        <x:f>IF(I111=H111,1,0)</x:f>
        <x:v>0</x:v>
      </x:c>
    </x:row>
    <x:row r="112" ht="23" customHeight="1">
      <x:c r="A112" s="2" t="str">
        <x:v>R001</x:v>
      </x:c>
      <x:c r="B112" s="2" t="str">
        <x:v>rerank20</x:v>
      </x:c>
      <x:c r="C112" s="2" t="str">
        <x:v>reasoning</x:v>
      </x:c>
      <x:c r="D112" s="2" t="str">
        <x:v>en</x:v>
      </x:c>
      <x:c r="E112" s="2" t="n">
        <x:v>1</x:v>
      </x:c>
      <x:c r="F112" s="2" t="n">
        <x:v>2</x:v>
      </x:c>
      <x:c r="G112" s="2" t="n">
        <x:v>1</x:v>
      </x:c>
      <x:c r="H112" s="2" t="n">
        <x:v>1</x:v>
      </x:c>
      <x:c r="I112" s="2" t="n">
        <x:v>1</x:v>
      </x:c>
      <x:c r="J112" s="7" t="n">
        <x:v>5.399664499997016</x:v>
      </x:c>
      <x:c r="K112" s="7" t="n">
        <x:f>IF(G112&gt;0,1,0)</x:f>
        <x:v>1</x:v>
      </x:c>
      <x:c r="L112" s="7" t="n">
        <x:f>IF(E112="",0,1/E112)</x:f>
        <x:v>1</x:v>
      </x:c>
      <x:c r="M112" s="7" t="n">
        <x:f>G112/F112</x:f>
        <x:v>0.5</x:v>
      </x:c>
      <x:c r="N112" s="7" t="n">
        <x:f>I112/H112</x:f>
        <x:v>1</x:v>
      </x:c>
      <x:c r="O112" s="7" t="n">
        <x:f>IF(I112=H112,1,0)</x:f>
        <x:v>1</x:v>
      </x:c>
    </x:row>
    <x:row r="113" ht="23" customHeight="1">
      <x:c r="A113" s="2" t="str">
        <x:v>R001</x:v>
      </x:c>
      <x:c r="B113" s="2" t="str">
        <x:v>rerank10</x:v>
      </x:c>
      <x:c r="C113" s="2" t="str">
        <x:v>reasoning</x:v>
      </x:c>
      <x:c r="D113" s="2" t="str">
        <x:v>en</x:v>
      </x:c>
      <x:c r="E113" s="2" t="n">
        <x:v>1</x:v>
      </x:c>
      <x:c r="F113" s="2" t="n">
        <x:v>2</x:v>
      </x:c>
      <x:c r="G113" s="2" t="n">
        <x:v>1</x:v>
      </x:c>
      <x:c r="H113" s="2" t="n">
        <x:v>1</x:v>
      </x:c>
      <x:c r="I113" s="2" t="n">
        <x:v>1</x:v>
      </x:c>
      <x:c r="J113" s="7" t="n">
        <x:v>2.606010999999853</x:v>
      </x:c>
      <x:c r="K113" s="7" t="n">
        <x:f>IF(G113&gt;0,1,0)</x:f>
        <x:v>1</x:v>
      </x:c>
      <x:c r="L113" s="7" t="n">
        <x:f>IF(E113="",0,1/E113)</x:f>
        <x:v>1</x:v>
      </x:c>
      <x:c r="M113" s="7" t="n">
        <x:f>G113/F113</x:f>
        <x:v>0.5</x:v>
      </x:c>
      <x:c r="N113" s="7" t="n">
        <x:f>I113/H113</x:f>
        <x:v>1</x:v>
      </x:c>
      <x:c r="O113" s="7" t="n">
        <x:f>IF(I113=H113,1,0)</x:f>
        <x:v>1</x:v>
      </x:c>
    </x:row>
    <x:row r="114" ht="23" customHeight="1">
      <x:c r="A114" s="2" t="str">
        <x:v>R001</x:v>
      </x:c>
      <x:c r="B114" s="2" t="str">
        <x:v>rerank40</x:v>
      </x:c>
      <x:c r="C114" s="2" t="str">
        <x:v>reasoning</x:v>
      </x:c>
      <x:c r="D114" s="2" t="str">
        <x:v>en</x:v>
      </x:c>
      <x:c r="E114" s="2" t="n">
        <x:v>1</x:v>
      </x:c>
      <x:c r="F114" s="2" t="n">
        <x:v>2</x:v>
      </x:c>
      <x:c r="G114" s="2" t="n">
        <x:v>1</x:v>
      </x:c>
      <x:c r="H114" s="2" t="n">
        <x:v>1</x:v>
      </x:c>
      <x:c r="I114" s="2" t="n">
        <x:v>1</x:v>
      </x:c>
      <x:c r="J114" s="7" t="n">
        <x:v>11.164853499998571</x:v>
      </x:c>
      <x:c r="K114" s="7" t="n">
        <x:f>IF(G114&gt;0,1,0)</x:f>
        <x:v>1</x:v>
      </x:c>
      <x:c r="L114" s="7" t="n">
        <x:f>IF(E114="",0,1/E114)</x:f>
        <x:v>1</x:v>
      </x:c>
      <x:c r="M114" s="7" t="n">
        <x:f>G114/F114</x:f>
        <x:v>0.5</x:v>
      </x:c>
      <x:c r="N114" s="7" t="n">
        <x:f>I114/H114</x:f>
        <x:v>1</x:v>
      </x:c>
      <x:c r="O114" s="7" t="n">
        <x:f>IF(I114=H114,1,0)</x:f>
        <x:v>1</x:v>
      </x:c>
    </x:row>
    <x:row r="115" ht="23" customHeight="1">
      <x:c r="A115" s="2" t="str">
        <x:v>R001</x:v>
      </x:c>
      <x:c r="B115" s="2" t="str">
        <x:v>vector</x:v>
      </x:c>
      <x:c r="C115" s="2" t="str">
        <x:v>reasoning</x:v>
      </x:c>
      <x:c r="D115" s="2" t="str">
        <x:v>en</x:v>
      </x:c>
      <x:c r="E115" s="2" t="n">
        <x:v>4</x:v>
      </x:c>
      <x:c r="F115" s="2" t="n">
        <x:v>2</x:v>
      </x:c>
      <x:c r="G115" s="2" t="n">
        <x:v>1</x:v>
      </x:c>
      <x:c r="H115" s="2" t="n">
        <x:v>1</x:v>
      </x:c>
      <x:c r="I115" s="2" t="n">
        <x:v>1</x:v>
      </x:c>
      <x:c r="J115" s="7" t="n">
        <x:v>0.08569299999726354</x:v>
      </x:c>
      <x:c r="K115" s="7" t="n">
        <x:f>IF(G115&gt;0,1,0)</x:f>
        <x:v>1</x:v>
      </x:c>
      <x:c r="L115" s="7" t="n">
        <x:f>IF(E115="",0,1/E115)</x:f>
        <x:v>0.25</x:v>
      </x:c>
      <x:c r="M115" s="7" t="n">
        <x:f>G115/F115</x:f>
        <x:v>0.5</x:v>
      </x:c>
      <x:c r="N115" s="7" t="n">
        <x:f>I115/H115</x:f>
        <x:v>1</x:v>
      </x:c>
      <x:c r="O115" s="7" t="n">
        <x:f>IF(I115=H115,1,0)</x:f>
        <x:v>1</x:v>
      </x:c>
    </x:row>
    <x:row r="116" ht="23" customHeight="1">
      <x:c r="A116" s="2" t="str">
        <x:v>R001</x:v>
      </x:c>
      <x:c r="B116" s="2" t="str">
        <x:v>hybrid</x:v>
      </x:c>
      <x:c r="C116" s="2" t="str">
        <x:v>reasoning</x:v>
      </x:c>
      <x:c r="D116" s="2" t="str">
        <x:v>en</x:v>
      </x:c>
      <x:c r="E116" s="2"/>
      <x:c r="F116" s="2" t="n">
        <x:v>2</x:v>
      </x:c>
      <x:c r="G116" s="2" t="n">
        <x:v>0</x:v>
      </x:c>
      <x:c r="H116" s="2" t="n">
        <x:v>1</x:v>
      </x:c>
      <x:c r="I116" s="2" t="n">
        <x:v>0</x:v>
      </x:c>
      <x:c r="J116" s="7" t="n">
        <x:v>0.16690169999856153</x:v>
      </x:c>
      <x:c r="K116" s="7" t="n">
        <x:f>IF(G116&gt;0,1,0)</x:f>
        <x:v>0</x:v>
      </x:c>
      <x:c r="L116" s="7" t="n">
        <x:f>IF(E116="",0,1/E116)</x:f>
        <x:v>0</x:v>
      </x:c>
      <x:c r="M116" s="7" t="n">
        <x:f>G116/F116</x:f>
        <x:v>0</x:v>
      </x:c>
      <x:c r="N116" s="7" t="n">
        <x:f>I116/H116</x:f>
        <x:v>0</x:v>
      </x:c>
      <x:c r="O116" s="7" t="n">
        <x:f>IF(I116=H116,1,0)</x:f>
        <x:v>0</x:v>
      </x:c>
    </x:row>
    <x:row r="117" ht="23" customHeight="1">
      <x:c r="A117" s="2" t="str">
        <x:v>F015</x:v>
      </x:c>
      <x:c r="B117" s="2" t="str">
        <x:v>rerank10</x:v>
      </x:c>
      <x:c r="C117" s="2" t="str">
        <x:v>fact</x:v>
      </x:c>
      <x:c r="D117" s="2" t="str">
        <x:v>zh</x:v>
      </x:c>
      <x:c r="E117" s="2" t="n">
        <x:v>1</x:v>
      </x:c>
      <x:c r="F117" s="2" t="n">
        <x:v>1</x:v>
      </x:c>
      <x:c r="G117" s="2" t="n">
        <x:v>1</x:v>
      </x:c>
      <x:c r="H117" s="2" t="n">
        <x:v>1</x:v>
      </x:c>
      <x:c r="I117" s="2" t="n">
        <x:v>1</x:v>
      </x:c>
      <x:c r="J117" s="7" t="n">
        <x:v>6.222975199998473</x:v>
      </x:c>
      <x:c r="K117" s="7" t="n">
        <x:f>IF(G117&gt;0,1,0)</x:f>
        <x:v>1</x:v>
      </x:c>
      <x:c r="L117" s="7" t="n">
        <x:f>IF(E117="",0,1/E117)</x:f>
        <x:v>1</x:v>
      </x:c>
      <x:c r="M117" s="7" t="n">
        <x:f>G117/F117</x:f>
        <x:v>1</x:v>
      </x:c>
      <x:c r="N117" s="7" t="n">
        <x:f>I117/H117</x:f>
        <x:v>1</x:v>
      </x:c>
      <x:c r="O117" s="7" t="n">
        <x:f>IF(I117=H117,1,0)</x:f>
        <x:v>1</x:v>
      </x:c>
    </x:row>
    <x:row r="118" ht="23" customHeight="1">
      <x:c r="A118" s="2" t="str">
        <x:v>F015</x:v>
      </x:c>
      <x:c r="B118" s="2" t="str">
        <x:v>rerank40</x:v>
      </x:c>
      <x:c r="C118" s="2" t="str">
        <x:v>fact</x:v>
      </x:c>
      <x:c r="D118" s="2" t="str">
        <x:v>zh</x:v>
      </x:c>
      <x:c r="E118" s="2" t="n">
        <x:v>1</x:v>
      </x:c>
      <x:c r="F118" s="2" t="n">
        <x:v>1</x:v>
      </x:c>
      <x:c r="G118" s="2" t="n">
        <x:v>1</x:v>
      </x:c>
      <x:c r="H118" s="2" t="n">
        <x:v>1</x:v>
      </x:c>
      <x:c r="I118" s="2" t="n">
        <x:v>1</x:v>
      </x:c>
      <x:c r="J118" s="7" t="n">
        <x:v>26.256834699997853</x:v>
      </x:c>
      <x:c r="K118" s="7" t="n">
        <x:f>IF(G118&gt;0,1,0)</x:f>
        <x:v>1</x:v>
      </x:c>
      <x:c r="L118" s="7" t="n">
        <x:f>IF(E118="",0,1/E118)</x:f>
        <x:v>1</x:v>
      </x:c>
      <x:c r="M118" s="7" t="n">
        <x:f>G118/F118</x:f>
        <x:v>1</x:v>
      </x:c>
      <x:c r="N118" s="7" t="n">
        <x:f>I118/H118</x:f>
        <x:v>1</x:v>
      </x:c>
      <x:c r="O118" s="7" t="n">
        <x:f>IF(I118=H118,1,0)</x:f>
        <x:v>1</x:v>
      </x:c>
    </x:row>
    <x:row r="119" ht="23" customHeight="1">
      <x:c r="A119" s="2" t="str">
        <x:v>F015</x:v>
      </x:c>
      <x:c r="B119" s="2" t="str">
        <x:v>vector</x:v>
      </x:c>
      <x:c r="C119" s="2" t="str">
        <x:v>fact</x:v>
      </x:c>
      <x:c r="D119" s="2" t="str">
        <x:v>zh</x:v>
      </x:c>
      <x:c r="E119" s="2"/>
      <x:c r="F119" s="2" t="n">
        <x:v>1</x:v>
      </x:c>
      <x:c r="G119" s="2" t="n">
        <x:v>0</x:v>
      </x:c>
      <x:c r="H119" s="2" t="n">
        <x:v>1</x:v>
      </x:c>
      <x:c r="I119" s="2" t="n">
        <x:v>0</x:v>
      </x:c>
      <x:c r="J119" s="7" t="n">
        <x:v>0.09086550000210991</x:v>
      </x:c>
      <x:c r="K119" s="7" t="n">
        <x:f>IF(G119&gt;0,1,0)</x:f>
        <x:v>0</x:v>
      </x:c>
      <x:c r="L119" s="7" t="n">
        <x:f>IF(E119="",0,1/E119)</x:f>
        <x:v>0</x:v>
      </x:c>
      <x:c r="M119" s="7" t="n">
        <x:f>G119/F119</x:f>
        <x:v>0</x:v>
      </x:c>
      <x:c r="N119" s="7" t="n">
        <x:f>I119/H119</x:f>
        <x:v>0</x:v>
      </x:c>
      <x:c r="O119" s="7" t="n">
        <x:f>IF(I119=H119,1,0)</x:f>
        <x:v>0</x:v>
      </x:c>
    </x:row>
    <x:row r="120" ht="23" customHeight="1">
      <x:c r="A120" s="2" t="str">
        <x:v>F015</x:v>
      </x:c>
      <x:c r="B120" s="2" t="str">
        <x:v>hybrid</x:v>
      </x:c>
      <x:c r="C120" s="2" t="str">
        <x:v>fact</x:v>
      </x:c>
      <x:c r="D120" s="2" t="str">
        <x:v>zh</x:v>
      </x:c>
      <x:c r="E120" s="2"/>
      <x:c r="F120" s="2" t="n">
        <x:v>1</x:v>
      </x:c>
      <x:c r="G120" s="2" t="n">
        <x:v>0</x:v>
      </x:c>
      <x:c r="H120" s="2" t="n">
        <x:v>1</x:v>
      </x:c>
      <x:c r="I120" s="2" t="n">
        <x:v>0</x:v>
      </x:c>
      <x:c r="J120" s="7" t="n">
        <x:v>0.16583149999860325</x:v>
      </x:c>
      <x:c r="K120" s="7" t="n">
        <x:f>IF(G120&gt;0,1,0)</x:f>
        <x:v>0</x:v>
      </x:c>
      <x:c r="L120" s="7" t="n">
        <x:f>IF(E120="",0,1/E120)</x:f>
        <x:v>0</x:v>
      </x:c>
      <x:c r="M120" s="7" t="n">
        <x:f>G120/F120</x:f>
        <x:v>0</x:v>
      </x:c>
      <x:c r="N120" s="7" t="n">
        <x:f>I120/H120</x:f>
        <x:v>0</x:v>
      </x:c>
      <x:c r="O120" s="7" t="n">
        <x:f>IF(I120=H120,1,0)</x:f>
        <x:v>0</x:v>
      </x:c>
    </x:row>
    <x:row r="121" ht="23" customHeight="1">
      <x:c r="A121" s="2" t="str">
        <x:v>F015</x:v>
      </x:c>
      <x:c r="B121" s="2" t="str">
        <x:v>rerank20</x:v>
      </x:c>
      <x:c r="C121" s="2" t="str">
        <x:v>fact</x:v>
      </x:c>
      <x:c r="D121" s="2" t="str">
        <x:v>zh</x:v>
      </x:c>
      <x:c r="E121" s="2" t="n">
        <x:v>1</x:v>
      </x:c>
      <x:c r="F121" s="2" t="n">
        <x:v>1</x:v>
      </x:c>
      <x:c r="G121" s="2" t="n">
        <x:v>1</x:v>
      </x:c>
      <x:c r="H121" s="2" t="n">
        <x:v>1</x:v>
      </x:c>
      <x:c r="I121" s="2" t="n">
        <x:v>1</x:v>
      </x:c>
      <x:c r="J121" s="7" t="n">
        <x:v>11.59169909999764</x:v>
      </x:c>
      <x:c r="K121" s="7" t="n">
        <x:f>IF(G121&gt;0,1,0)</x:f>
        <x:v>1</x:v>
      </x:c>
      <x:c r="L121" s="7" t="n">
        <x:f>IF(E121="",0,1/E121)</x:f>
        <x:v>1</x:v>
      </x:c>
      <x:c r="M121" s="7" t="n">
        <x:f>G121/F121</x:f>
        <x:v>1</x:v>
      </x:c>
      <x:c r="N121" s="7" t="n">
        <x:f>I121/H121</x:f>
        <x:v>1</x:v>
      </x:c>
      <x:c r="O121" s="7" t="n">
        <x:f>IF(I121=H121,1,0)</x:f>
        <x:v>1</x:v>
      </x:c>
    </x:row>
    <x:row r="122" ht="23" customHeight="1">
      <x:c r="A122" s="2" t="str">
        <x:v>S006</x:v>
      </x:c>
      <x:c r="B122" s="2" t="str">
        <x:v>rerank40</x:v>
      </x:c>
      <x:c r="C122" s="2" t="str">
        <x:v>synthesis</x:v>
      </x:c>
      <x:c r="D122" s="2" t="str">
        <x:v>en</x:v>
      </x:c>
      <x:c r="E122" s="2" t="n">
        <x:v>5</x:v>
      </x:c>
      <x:c r="F122" s="2" t="n">
        <x:v>4</x:v>
      </x:c>
      <x:c r="G122" s="2" t="n">
        <x:v>1</x:v>
      </x:c>
      <x:c r="H122" s="2" t="n">
        <x:v>3</x:v>
      </x:c>
      <x:c r="I122" s="2" t="n">
        <x:v>1</x:v>
      </x:c>
      <x:c r="J122" s="7" t="n">
        <x:v>10.726728300000104</x:v>
      </x:c>
      <x:c r="K122" s="7" t="n">
        <x:f>IF(G122&gt;0,1,0)</x:f>
        <x:v>1</x:v>
      </x:c>
      <x:c r="L122" s="7" t="n">
        <x:f>IF(E122="",0,1/E122)</x:f>
        <x:v>0.2</x:v>
      </x:c>
      <x:c r="M122" s="7" t="n">
        <x:f>G122/F122</x:f>
        <x:v>0.25</x:v>
      </x:c>
      <x:c r="N122" s="7" t="n">
        <x:f>I122/H122</x:f>
        <x:v>0.3333333333333333</x:v>
      </x:c>
      <x:c r="O122" s="7" t="n">
        <x:f>IF(I122=H122,1,0)</x:f>
        <x:v>0</x:v>
      </x:c>
    </x:row>
    <x:row r="123" ht="23" customHeight="1">
      <x:c r="A123" s="2" t="str">
        <x:v>S006</x:v>
      </x:c>
      <x:c r="B123" s="2" t="str">
        <x:v>vector</x:v>
      </x:c>
      <x:c r="C123" s="2" t="str">
        <x:v>synthesis</x:v>
      </x:c>
      <x:c r="D123" s="2" t="str">
        <x:v>en</x:v>
      </x:c>
      <x:c r="E123" s="2" t="n">
        <x:v>5</x:v>
      </x:c>
      <x:c r="F123" s="2" t="n">
        <x:v>4</x:v>
      </x:c>
      <x:c r="G123" s="2" t="n">
        <x:v>1</x:v>
      </x:c>
      <x:c r="H123" s="2" t="n">
        <x:v>3</x:v>
      </x:c>
      <x:c r="I123" s="2" t="n">
        <x:v>1</x:v>
      </x:c>
      <x:c r="J123" s="7" t="n">
        <x:v>0.10206560000005993</x:v>
      </x:c>
      <x:c r="K123" s="7" t="n">
        <x:f>IF(G123&gt;0,1,0)</x:f>
        <x:v>1</x:v>
      </x:c>
      <x:c r="L123" s="7" t="n">
        <x:f>IF(E123="",0,1/E123)</x:f>
        <x:v>0.2</x:v>
      </x:c>
      <x:c r="M123" s="7" t="n">
        <x:f>G123/F123</x:f>
        <x:v>0.25</x:v>
      </x:c>
      <x:c r="N123" s="7" t="n">
        <x:f>I123/H123</x:f>
        <x:v>0.3333333333333333</x:v>
      </x:c>
      <x:c r="O123" s="7" t="n">
        <x:f>IF(I123=H123,1,0)</x:f>
        <x:v>0</x:v>
      </x:c>
    </x:row>
    <x:row r="124" ht="23" customHeight="1">
      <x:c r="A124" s="2" t="str">
        <x:v>S006</x:v>
      </x:c>
      <x:c r="B124" s="2" t="str">
        <x:v>hybrid</x:v>
      </x:c>
      <x:c r="C124" s="2" t="str">
        <x:v>synthesis</x:v>
      </x:c>
      <x:c r="D124" s="2" t="str">
        <x:v>en</x:v>
      </x:c>
      <x:c r="E124" s="2"/>
      <x:c r="F124" s="2" t="n">
        <x:v>4</x:v>
      </x:c>
      <x:c r="G124" s="2" t="n">
        <x:v>0</x:v>
      </x:c>
      <x:c r="H124" s="2" t="n">
        <x:v>3</x:v>
      </x:c>
      <x:c r="I124" s="2" t="n">
        <x:v>0</x:v>
      </x:c>
      <x:c r="J124" s="7" t="n">
        <x:v>0.18146060000071884</x:v>
      </x:c>
      <x:c r="K124" s="7" t="n">
        <x:f>IF(G124&gt;0,1,0)</x:f>
        <x:v>0</x:v>
      </x:c>
      <x:c r="L124" s="7" t="n">
        <x:f>IF(E124="",0,1/E124)</x:f>
        <x:v>0</x:v>
      </x:c>
      <x:c r="M124" s="7" t="n">
        <x:f>G124/F124</x:f>
        <x:v>0</x:v>
      </x:c>
      <x:c r="N124" s="7" t="n">
        <x:f>I124/H124</x:f>
        <x:v>0</x:v>
      </x:c>
      <x:c r="O124" s="7" t="n">
        <x:f>IF(I124=H124,1,0)</x:f>
        <x:v>0</x:v>
      </x:c>
    </x:row>
    <x:row r="125" ht="23" customHeight="1">
      <x:c r="A125" s="2" t="str">
        <x:v>S006</x:v>
      </x:c>
      <x:c r="B125" s="2" t="str">
        <x:v>rerank20</x:v>
      </x:c>
      <x:c r="C125" s="2" t="str">
        <x:v>synthesis</x:v>
      </x:c>
      <x:c r="D125" s="2" t="str">
        <x:v>en</x:v>
      </x:c>
      <x:c r="E125" s="2" t="n">
        <x:v>3</x:v>
      </x:c>
      <x:c r="F125" s="2" t="n">
        <x:v>4</x:v>
      </x:c>
      <x:c r="G125" s="2" t="n">
        <x:v>1</x:v>
      </x:c>
      <x:c r="H125" s="2" t="n">
        <x:v>3</x:v>
      </x:c>
      <x:c r="I125" s="2" t="n">
        <x:v>1</x:v>
      </x:c>
      <x:c r="J125" s="7" t="n">
        <x:v>5.347293999999238</x:v>
      </x:c>
      <x:c r="K125" s="7" t="n">
        <x:f>IF(G125&gt;0,1,0)</x:f>
        <x:v>1</x:v>
      </x:c>
      <x:c r="L125" s="7" t="n">
        <x:f>IF(E125="",0,1/E125)</x:f>
        <x:v>0.3333333333333333</x:v>
      </x:c>
      <x:c r="M125" s="7" t="n">
        <x:f>G125/F125</x:f>
        <x:v>0.25</x:v>
      </x:c>
      <x:c r="N125" s="7" t="n">
        <x:f>I125/H125</x:f>
        <x:v>0.3333333333333333</x:v>
      </x:c>
      <x:c r="O125" s="7" t="n">
        <x:f>IF(I125=H125,1,0)</x:f>
        <x:v>0</x:v>
      </x:c>
    </x:row>
    <x:row r="126" ht="23" customHeight="1">
      <x:c r="A126" s="2" t="str">
        <x:v>S006</x:v>
      </x:c>
      <x:c r="B126" s="2" t="str">
        <x:v>rerank10</x:v>
      </x:c>
      <x:c r="C126" s="2" t="str">
        <x:v>synthesis</x:v>
      </x:c>
      <x:c r="D126" s="2" t="str">
        <x:v>en</x:v>
      </x:c>
      <x:c r="E126" s="2" t="n">
        <x:v>2</x:v>
      </x:c>
      <x:c r="F126" s="2" t="n">
        <x:v>4</x:v>
      </x:c>
      <x:c r="G126" s="2" t="n">
        <x:v>1</x:v>
      </x:c>
      <x:c r="H126" s="2" t="n">
        <x:v>3</x:v>
      </x:c>
      <x:c r="I126" s="2" t="n">
        <x:v>1</x:v>
      </x:c>
      <x:c r="J126" s="7" t="n">
        <x:v>2.8983489999991434</x:v>
      </x:c>
      <x:c r="K126" s="7" t="n">
        <x:f>IF(G126&gt;0,1,0)</x:f>
        <x:v>1</x:v>
      </x:c>
      <x:c r="L126" s="7" t="n">
        <x:f>IF(E126="",0,1/E126)</x:f>
        <x:v>0.5</x:v>
      </x:c>
      <x:c r="M126" s="7" t="n">
        <x:f>G126/F126</x:f>
        <x:v>0.25</x:v>
      </x:c>
      <x:c r="N126" s="7" t="n">
        <x:f>I126/H126</x:f>
        <x:v>0.3333333333333333</x:v>
      </x:c>
      <x:c r="O126" s="7" t="n">
        <x:f>IF(I126=H126,1,0)</x:f>
        <x:v>0</x:v>
      </x:c>
    </x:row>
    <x:row r="127" ht="23" customHeight="1">
      <x:c r="A127" s="2" t="str">
        <x:v>R010</x:v>
      </x:c>
      <x:c r="B127" s="2" t="str">
        <x:v>vector</x:v>
      </x:c>
      <x:c r="C127" s="2" t="str">
        <x:v>reasoning</x:v>
      </x:c>
      <x:c r="D127" s="2" t="str">
        <x:v>zh</x:v>
      </x:c>
      <x:c r="E127" s="2"/>
      <x:c r="F127" s="2" t="n">
        <x:v>2</x:v>
      </x:c>
      <x:c r="G127" s="2" t="n">
        <x:v>0</x:v>
      </x:c>
      <x:c r="H127" s="2" t="n">
        <x:v>1</x:v>
      </x:c>
      <x:c r="I127" s="2" t="n">
        <x:v>0</x:v>
      </x:c>
      <x:c r="J127" s="7" t="n">
        <x:v>0.08985469999970519</x:v>
      </x:c>
      <x:c r="K127" s="7" t="n">
        <x:f>IF(G127&gt;0,1,0)</x:f>
        <x:v>0</x:v>
      </x:c>
      <x:c r="L127" s="7" t="n">
        <x:f>IF(E127="",0,1/E127)</x:f>
        <x:v>0</x:v>
      </x:c>
      <x:c r="M127" s="7" t="n">
        <x:f>G127/F127</x:f>
        <x:v>0</x:v>
      </x:c>
      <x:c r="N127" s="7" t="n">
        <x:f>I127/H127</x:f>
        <x:v>0</x:v>
      </x:c>
      <x:c r="O127" s="7" t="n">
        <x:f>IF(I127=H127,1,0)</x:f>
        <x:v>0</x:v>
      </x:c>
    </x:row>
    <x:row r="128" ht="23" customHeight="1">
      <x:c r="A128" s="2" t="str">
        <x:v>R010</x:v>
      </x:c>
      <x:c r="B128" s="2" t="str">
        <x:v>hybrid</x:v>
      </x:c>
      <x:c r="C128" s="2" t="str">
        <x:v>reasoning</x:v>
      </x:c>
      <x:c r="D128" s="2" t="str">
        <x:v>zh</x:v>
      </x:c>
      <x:c r="E128" s="2"/>
      <x:c r="F128" s="2" t="n">
        <x:v>2</x:v>
      </x:c>
      <x:c r="G128" s="2" t="n">
        <x:v>0</x:v>
      </x:c>
      <x:c r="H128" s="2" t="n">
        <x:v>1</x:v>
      </x:c>
      <x:c r="I128" s="2" t="n">
        <x:v>0</x:v>
      </x:c>
      <x:c r="J128" s="7" t="n">
        <x:v>0.17160380000132136</x:v>
      </x:c>
      <x:c r="K128" s="7" t="n">
        <x:f>IF(G128&gt;0,1,0)</x:f>
        <x:v>0</x:v>
      </x:c>
      <x:c r="L128" s="7" t="n">
        <x:f>IF(E128="",0,1/E128)</x:f>
        <x:v>0</x:v>
      </x:c>
      <x:c r="M128" s="7" t="n">
        <x:f>G128/F128</x:f>
        <x:v>0</x:v>
      </x:c>
      <x:c r="N128" s="7" t="n">
        <x:f>I128/H128</x:f>
        <x:v>0</x:v>
      </x:c>
      <x:c r="O128" s="7" t="n">
        <x:f>IF(I128=H128,1,0)</x:f>
        <x:v>0</x:v>
      </x:c>
    </x:row>
    <x:row r="129" ht="23" customHeight="1">
      <x:c r="A129" s="2" t="str">
        <x:v>R010</x:v>
      </x:c>
      <x:c r="B129" s="2" t="str">
        <x:v>rerank20</x:v>
      </x:c>
      <x:c r="C129" s="2" t="str">
        <x:v>reasoning</x:v>
      </x:c>
      <x:c r="D129" s="2" t="str">
        <x:v>zh</x:v>
      </x:c>
      <x:c r="E129" s="2" t="n">
        <x:v>1</x:v>
      </x:c>
      <x:c r="F129" s="2" t="n">
        <x:v>2</x:v>
      </x:c>
      <x:c r="G129" s="2" t="n">
        <x:v>1</x:v>
      </x:c>
      <x:c r="H129" s="2" t="n">
        <x:v>1</x:v>
      </x:c>
      <x:c r="I129" s="2" t="n">
        <x:v>1</x:v>
      </x:c>
      <x:c r="J129" s="7" t="n">
        <x:v>7.314029900000605</x:v>
      </x:c>
      <x:c r="K129" s="7" t="n">
        <x:f>IF(G129&gt;0,1,0)</x:f>
        <x:v>1</x:v>
      </x:c>
      <x:c r="L129" s="7" t="n">
        <x:f>IF(E129="",0,1/E129)</x:f>
        <x:v>1</x:v>
      </x:c>
      <x:c r="M129" s="7" t="n">
        <x:f>G129/F129</x:f>
        <x:v>0.5</x:v>
      </x:c>
      <x:c r="N129" s="7" t="n">
        <x:f>I129/H129</x:f>
        <x:v>1</x:v>
      </x:c>
      <x:c r="O129" s="7" t="n">
        <x:f>IF(I129=H129,1,0)</x:f>
        <x:v>1</x:v>
      </x:c>
    </x:row>
    <x:row r="130" ht="23" customHeight="1">
      <x:c r="A130" s="2" t="str">
        <x:v>R010</x:v>
      </x:c>
      <x:c r="B130" s="2" t="str">
        <x:v>rerank10</x:v>
      </x:c>
      <x:c r="C130" s="2" t="str">
        <x:v>reasoning</x:v>
      </x:c>
      <x:c r="D130" s="2" t="str">
        <x:v>zh</x:v>
      </x:c>
      <x:c r="E130" s="2"/>
      <x:c r="F130" s="2" t="n">
        <x:v>2</x:v>
      </x:c>
      <x:c r="G130" s="2" t="n">
        <x:v>0</x:v>
      </x:c>
      <x:c r="H130" s="2" t="n">
        <x:v>1</x:v>
      </x:c>
      <x:c r="I130" s="2" t="n">
        <x:v>0</x:v>
      </x:c>
      <x:c r="J130" s="7" t="n">
        <x:v>3.698016899998038</x:v>
      </x:c>
      <x:c r="K130" s="7" t="n">
        <x:f>IF(G130&gt;0,1,0)</x:f>
        <x:v>0</x:v>
      </x:c>
      <x:c r="L130" s="7" t="n">
        <x:f>IF(E130="",0,1/E130)</x:f>
        <x:v>0</x:v>
      </x:c>
      <x:c r="M130" s="7" t="n">
        <x:f>G130/F130</x:f>
        <x:v>0</x:v>
      </x:c>
      <x:c r="N130" s="7" t="n">
        <x:f>I130/H130</x:f>
        <x:v>0</x:v>
      </x:c>
      <x:c r="O130" s="7" t="n">
        <x:f>IF(I130=H130,1,0)</x:f>
        <x:v>0</x:v>
      </x:c>
    </x:row>
    <x:row r="131" ht="23" customHeight="1">
      <x:c r="A131" s="2" t="str">
        <x:v>R010</x:v>
      </x:c>
      <x:c r="B131" s="2" t="str">
        <x:v>rerank40</x:v>
      </x:c>
      <x:c r="C131" s="2" t="str">
        <x:v>reasoning</x:v>
      </x:c>
      <x:c r="D131" s="2" t="str">
        <x:v>zh</x:v>
      </x:c>
      <x:c r="E131" s="2" t="n">
        <x:v>1</x:v>
      </x:c>
      <x:c r="F131" s="2" t="n">
        <x:v>2</x:v>
      </x:c>
      <x:c r="G131" s="2" t="n">
        <x:v>1</x:v>
      </x:c>
      <x:c r="H131" s="2" t="n">
        <x:v>1</x:v>
      </x:c>
      <x:c r="I131" s="2" t="n">
        <x:v>1</x:v>
      </x:c>
      <x:c r="J131" s="7" t="n">
        <x:v>14.454970299997512</x:v>
      </x:c>
      <x:c r="K131" s="7" t="n">
        <x:f>IF(G131&gt;0,1,0)</x:f>
        <x:v>1</x:v>
      </x:c>
      <x:c r="L131" s="7" t="n">
        <x:f>IF(E131="",0,1/E131)</x:f>
        <x:v>1</x:v>
      </x:c>
      <x:c r="M131" s="7" t="n">
        <x:f>G131/F131</x:f>
        <x:v>0.5</x:v>
      </x:c>
      <x:c r="N131" s="7" t="n">
        <x:f>I131/H131</x:f>
        <x:v>1</x:v>
      </x:c>
      <x:c r="O131" s="7" t="n">
        <x:f>IF(I131=H131,1,0)</x:f>
        <x:v>1</x:v>
      </x:c>
    </x:row>
    <x:row r="132" ht="23" customHeight="1">
      <x:c r="A132" s="2" t="str">
        <x:v>R011</x:v>
      </x:c>
      <x:c r="B132" s="2" t="str">
        <x:v>hybrid</x:v>
      </x:c>
      <x:c r="C132" s="2" t="str">
        <x:v>reasoning</x:v>
      </x:c>
      <x:c r="D132" s="2" t="str">
        <x:v>en</x:v>
      </x:c>
      <x:c r="E132" s="2" t="n">
        <x:v>5</x:v>
      </x:c>
      <x:c r="F132" s="2" t="n">
        <x:v>1</x:v>
      </x:c>
      <x:c r="G132" s="2" t="n">
        <x:v>1</x:v>
      </x:c>
      <x:c r="H132" s="2" t="n">
        <x:v>1</x:v>
      </x:c>
      <x:c r="I132" s="2" t="n">
        <x:v>1</x:v>
      </x:c>
      <x:c r="J132" s="7" t="n">
        <x:v>0.18420600000172271</x:v>
      </x:c>
      <x:c r="K132" s="7" t="n">
        <x:f>IF(G132&gt;0,1,0)</x:f>
        <x:v>1</x:v>
      </x:c>
      <x:c r="L132" s="7" t="n">
        <x:f>IF(E132="",0,1/E132)</x:f>
        <x:v>0.2</x:v>
      </x:c>
      <x:c r="M132" s="7" t="n">
        <x:f>G132/F132</x:f>
        <x:v>1</x:v>
      </x:c>
      <x:c r="N132" s="7" t="n">
        <x:f>I132/H132</x:f>
        <x:v>1</x:v>
      </x:c>
      <x:c r="O132" s="7" t="n">
        <x:f>IF(I132=H132,1,0)</x:f>
        <x:v>1</x:v>
      </x:c>
    </x:row>
    <x:row r="133" ht="23" customHeight="1">
      <x:c r="A133" s="2" t="str">
        <x:v>R011</x:v>
      </x:c>
      <x:c r="B133" s="2" t="str">
        <x:v>rerank20</x:v>
      </x:c>
      <x:c r="C133" s="2" t="str">
        <x:v>reasoning</x:v>
      </x:c>
      <x:c r="D133" s="2" t="str">
        <x:v>en</x:v>
      </x:c>
      <x:c r="E133" s="2" t="n">
        <x:v>1</x:v>
      </x:c>
      <x:c r="F133" s="2" t="n">
        <x:v>1</x:v>
      </x:c>
      <x:c r="G133" s="2" t="n">
        <x:v>1</x:v>
      </x:c>
      <x:c r="H133" s="2" t="n">
        <x:v>1</x:v>
      </x:c>
      <x:c r="I133" s="2" t="n">
        <x:v>1</x:v>
      </x:c>
      <x:c r="J133" s="7" t="n">
        <x:v>5.362742199999047</x:v>
      </x:c>
      <x:c r="K133" s="7" t="n">
        <x:f>IF(G133&gt;0,1,0)</x:f>
        <x:v>1</x:v>
      </x:c>
      <x:c r="L133" s="7" t="n">
        <x:f>IF(E133="",0,1/E133)</x:f>
        <x:v>1</x:v>
      </x:c>
      <x:c r="M133" s="7" t="n">
        <x:f>G133/F133</x:f>
        <x:v>1</x:v>
      </x:c>
      <x:c r="N133" s="7" t="n">
        <x:f>I133/H133</x:f>
        <x:v>1</x:v>
      </x:c>
      <x:c r="O133" s="7" t="n">
        <x:f>IF(I133=H133,1,0)</x:f>
        <x:v>1</x:v>
      </x:c>
    </x:row>
    <x:row r="134" ht="23" customHeight="1">
      <x:c r="A134" s="2" t="str">
        <x:v>R011</x:v>
      </x:c>
      <x:c r="B134" s="2" t="str">
        <x:v>rerank10</x:v>
      </x:c>
      <x:c r="C134" s="2" t="str">
        <x:v>reasoning</x:v>
      </x:c>
      <x:c r="D134" s="2" t="str">
        <x:v>en</x:v>
      </x:c>
      <x:c r="E134" s="2" t="n">
        <x:v>1</x:v>
      </x:c>
      <x:c r="F134" s="2" t="n">
        <x:v>1</x:v>
      </x:c>
      <x:c r="G134" s="2" t="n">
        <x:v>1</x:v>
      </x:c>
      <x:c r="H134" s="2" t="n">
        <x:v>1</x:v>
      </x:c>
      <x:c r="I134" s="2" t="n">
        <x:v>1</x:v>
      </x:c>
      <x:c r="J134" s="7" t="n">
        <x:v>2.722436000000016</x:v>
      </x:c>
      <x:c r="K134" s="7" t="n">
        <x:f>IF(G134&gt;0,1,0)</x:f>
        <x:v>1</x:v>
      </x:c>
      <x:c r="L134" s="7" t="n">
        <x:f>IF(E134="",0,1/E134)</x:f>
        <x:v>1</x:v>
      </x:c>
      <x:c r="M134" s="7" t="n">
        <x:f>G134/F134</x:f>
        <x:v>1</x:v>
      </x:c>
      <x:c r="N134" s="7" t="n">
        <x:f>I134/H134</x:f>
        <x:v>1</x:v>
      </x:c>
      <x:c r="O134" s="7" t="n">
        <x:f>IF(I134=H134,1,0)</x:f>
        <x:v>1</x:v>
      </x:c>
    </x:row>
    <x:row r="135" ht="23" customHeight="1">
      <x:c r="A135" s="2" t="str">
        <x:v>R011</x:v>
      </x:c>
      <x:c r="B135" s="2" t="str">
        <x:v>rerank40</x:v>
      </x:c>
      <x:c r="C135" s="2" t="str">
        <x:v>reasoning</x:v>
      </x:c>
      <x:c r="D135" s="2" t="str">
        <x:v>en</x:v>
      </x:c>
      <x:c r="E135" s="2" t="n">
        <x:v>1</x:v>
      </x:c>
      <x:c r="F135" s="2" t="n">
        <x:v>1</x:v>
      </x:c>
      <x:c r="G135" s="2" t="n">
        <x:v>1</x:v>
      </x:c>
      <x:c r="H135" s="2" t="n">
        <x:v>1</x:v>
      </x:c>
      <x:c r="I135" s="2" t="n">
        <x:v>1</x:v>
      </x:c>
      <x:c r="J135" s="7" t="n">
        <x:v>10.767001300002448</x:v>
      </x:c>
      <x:c r="K135" s="7" t="n">
        <x:f>IF(G135&gt;0,1,0)</x:f>
        <x:v>1</x:v>
      </x:c>
      <x:c r="L135" s="7" t="n">
        <x:f>IF(E135="",0,1/E135)</x:f>
        <x:v>1</x:v>
      </x:c>
      <x:c r="M135" s="7" t="n">
        <x:f>G135/F135</x:f>
        <x:v>1</x:v>
      </x:c>
      <x:c r="N135" s="7" t="n">
        <x:f>I135/H135</x:f>
        <x:v>1</x:v>
      </x:c>
      <x:c r="O135" s="7" t="n">
        <x:f>IF(I135=H135,1,0)</x:f>
        <x:v>1</x:v>
      </x:c>
    </x:row>
    <x:row r="136" ht="23" customHeight="1">
      <x:c r="A136" s="2" t="str">
        <x:v>R011</x:v>
      </x:c>
      <x:c r="B136" s="2" t="str">
        <x:v>vector</x:v>
      </x:c>
      <x:c r="C136" s="2" t="str">
        <x:v>reasoning</x:v>
      </x:c>
      <x:c r="D136" s="2" t="str">
        <x:v>en</x:v>
      </x:c>
      <x:c r="E136" s="2" t="n">
        <x:v>4</x:v>
      </x:c>
      <x:c r="F136" s="2" t="n">
        <x:v>1</x:v>
      </x:c>
      <x:c r="G136" s="2" t="n">
        <x:v>1</x:v>
      </x:c>
      <x:c r="H136" s="2" t="n">
        <x:v>1</x:v>
      </x:c>
      <x:c r="I136" s="2" t="n">
        <x:v>1</x:v>
      </x:c>
      <x:c r="J136" s="7" t="n">
        <x:v>0.1092910999977903</x:v>
      </x:c>
      <x:c r="K136" s="7" t="n">
        <x:f>IF(G136&gt;0,1,0)</x:f>
        <x:v>1</x:v>
      </x:c>
      <x:c r="L136" s="7" t="n">
        <x:f>IF(E136="",0,1/E136)</x:f>
        <x:v>0.25</x:v>
      </x:c>
      <x:c r="M136" s="7" t="n">
        <x:f>G136/F136</x:f>
        <x:v>1</x:v>
      </x:c>
      <x:c r="N136" s="7" t="n">
        <x:f>I136/H136</x:f>
        <x:v>1</x:v>
      </x:c>
      <x:c r="O136" s="7" t="n">
        <x:f>IF(I136=H136,1,0)</x:f>
        <x:v>1</x:v>
      </x:c>
    </x:row>
    <x:row r="137" ht="23" customHeight="1">
      <x:c r="A137" s="2" t="str">
        <x:v>S007</x:v>
      </x:c>
      <x:c r="B137" s="2" t="str">
        <x:v>rerank20</x:v>
      </x:c>
      <x:c r="C137" s="2" t="str">
        <x:v>synthesis</x:v>
      </x:c>
      <x:c r="D137" s="2" t="str">
        <x:v>zh</x:v>
      </x:c>
      <x:c r="E137" s="2" t="n">
        <x:v>4</x:v>
      </x:c>
      <x:c r="F137" s="2" t="n">
        <x:v>3</x:v>
      </x:c>
      <x:c r="G137" s="2" t="n">
        <x:v>1</x:v>
      </x:c>
      <x:c r="H137" s="2" t="n">
        <x:v>3</x:v>
      </x:c>
      <x:c r="I137" s="2" t="n">
        <x:v>1</x:v>
      </x:c>
      <x:c r="J137" s="7" t="n">
        <x:v>8.9917368000024</x:v>
      </x:c>
      <x:c r="K137" s="7" t="n">
        <x:f>IF(G137&gt;0,1,0)</x:f>
        <x:v>1</x:v>
      </x:c>
      <x:c r="L137" s="7" t="n">
        <x:f>IF(E137="",0,1/E137)</x:f>
        <x:v>0.25</x:v>
      </x:c>
      <x:c r="M137" s="7" t="n">
        <x:f>G137/F137</x:f>
        <x:v>0.3333333333333333</x:v>
      </x:c>
      <x:c r="N137" s="7" t="n">
        <x:f>I137/H137</x:f>
        <x:v>0.3333333333333333</x:v>
      </x:c>
      <x:c r="O137" s="7" t="n">
        <x:f>IF(I137=H137,1,0)</x:f>
        <x:v>0</x:v>
      </x:c>
    </x:row>
    <x:row r="138" ht="23" customHeight="1">
      <x:c r="A138" s="2" t="str">
        <x:v>S007</x:v>
      </x:c>
      <x:c r="B138" s="2" t="str">
        <x:v>rerank10</x:v>
      </x:c>
      <x:c r="C138" s="2" t="str">
        <x:v>synthesis</x:v>
      </x:c>
      <x:c r="D138" s="2" t="str">
        <x:v>zh</x:v>
      </x:c>
      <x:c r="E138" s="2" t="n">
        <x:v>2</x:v>
      </x:c>
      <x:c r="F138" s="2" t="n">
        <x:v>3</x:v>
      </x:c>
      <x:c r="G138" s="2" t="n">
        <x:v>1</x:v>
      </x:c>
      <x:c r="H138" s="2" t="n">
        <x:v>3</x:v>
      </x:c>
      <x:c r="I138" s="2" t="n">
        <x:v>1</x:v>
      </x:c>
      <x:c r="J138" s="7" t="n">
        <x:v>2.9590650999998616</x:v>
      </x:c>
      <x:c r="K138" s="7" t="n">
        <x:f>IF(G138&gt;0,1,0)</x:f>
        <x:v>1</x:v>
      </x:c>
      <x:c r="L138" s="7" t="n">
        <x:f>IF(E138="",0,1/E138)</x:f>
        <x:v>0.5</x:v>
      </x:c>
      <x:c r="M138" s="7" t="n">
        <x:f>G138/F138</x:f>
        <x:v>0.3333333333333333</x:v>
      </x:c>
      <x:c r="N138" s="7" t="n">
        <x:f>I138/H138</x:f>
        <x:v>0.3333333333333333</x:v>
      </x:c>
      <x:c r="O138" s="7" t="n">
        <x:f>IF(I138=H138,1,0)</x:f>
        <x:v>0</x:v>
      </x:c>
    </x:row>
    <x:row r="139" ht="23" customHeight="1">
      <x:c r="A139" s="2" t="str">
        <x:v>S007</x:v>
      </x:c>
      <x:c r="B139" s="2" t="str">
        <x:v>rerank40</x:v>
      </x:c>
      <x:c r="C139" s="2" t="str">
        <x:v>synthesis</x:v>
      </x:c>
      <x:c r="D139" s="2" t="str">
        <x:v>zh</x:v>
      </x:c>
      <x:c r="E139" s="2" t="n">
        <x:v>5</x:v>
      </x:c>
      <x:c r="F139" s="2" t="n">
        <x:v>3</x:v>
      </x:c>
      <x:c r="G139" s="2" t="n">
        <x:v>1</x:v>
      </x:c>
      <x:c r="H139" s="2" t="n">
        <x:v>3</x:v>
      </x:c>
      <x:c r="I139" s="2" t="n">
        <x:v>1</x:v>
      </x:c>
      <x:c r="J139" s="7" t="n">
        <x:v>20.259167799998977</x:v>
      </x:c>
      <x:c r="K139" s="7" t="n">
        <x:f>IF(G139&gt;0,1,0)</x:f>
        <x:v>1</x:v>
      </x:c>
      <x:c r="L139" s="7" t="n">
        <x:f>IF(E139="",0,1/E139)</x:f>
        <x:v>0.2</x:v>
      </x:c>
      <x:c r="M139" s="7" t="n">
        <x:f>G139/F139</x:f>
        <x:v>0.3333333333333333</x:v>
      </x:c>
      <x:c r="N139" s="7" t="n">
        <x:f>I139/H139</x:f>
        <x:v>0.3333333333333333</x:v>
      </x:c>
      <x:c r="O139" s="7" t="n">
        <x:f>IF(I139=H139,1,0)</x:f>
        <x:v>0</x:v>
      </x:c>
    </x:row>
    <x:row r="140" ht="23" customHeight="1">
      <x:c r="A140" s="2" t="str">
        <x:v>S007</x:v>
      </x:c>
      <x:c r="B140" s="2" t="str">
        <x:v>vector</x:v>
      </x:c>
      <x:c r="C140" s="2" t="str">
        <x:v>synthesis</x:v>
      </x:c>
      <x:c r="D140" s="2" t="str">
        <x:v>zh</x:v>
      </x:c>
      <x:c r="E140" s="2" t="n">
        <x:v>2</x:v>
      </x:c>
      <x:c r="F140" s="2" t="n">
        <x:v>3</x:v>
      </x:c>
      <x:c r="G140" s="2" t="n">
        <x:v>1</x:v>
      </x:c>
      <x:c r="H140" s="2" t="n">
        <x:v>3</x:v>
      </x:c>
      <x:c r="I140" s="2" t="n">
        <x:v>1</x:v>
      </x:c>
      <x:c r="J140" s="7" t="n">
        <x:v>0.07918770000105724</x:v>
      </x:c>
      <x:c r="K140" s="7" t="n">
        <x:f>IF(G140&gt;0,1,0)</x:f>
        <x:v>1</x:v>
      </x:c>
      <x:c r="L140" s="7" t="n">
        <x:f>IF(E140="",0,1/E140)</x:f>
        <x:v>0.5</x:v>
      </x:c>
      <x:c r="M140" s="7" t="n">
        <x:f>G140/F140</x:f>
        <x:v>0.3333333333333333</x:v>
      </x:c>
      <x:c r="N140" s="7" t="n">
        <x:f>I140/H140</x:f>
        <x:v>0.3333333333333333</x:v>
      </x:c>
      <x:c r="O140" s="7" t="n">
        <x:f>IF(I140=H140,1,0)</x:f>
        <x:v>0</x:v>
      </x:c>
    </x:row>
    <x:row r="141" ht="23" customHeight="1">
      <x:c r="A141" s="2" t="str">
        <x:v>S007</x:v>
      </x:c>
      <x:c r="B141" s="2" t="str">
        <x:v>hybrid</x:v>
      </x:c>
      <x:c r="C141" s="2" t="str">
        <x:v>synthesis</x:v>
      </x:c>
      <x:c r="D141" s="2" t="str">
        <x:v>zh</x:v>
      </x:c>
      <x:c r="E141" s="2" t="n">
        <x:v>2</x:v>
      </x:c>
      <x:c r="F141" s="2" t="n">
        <x:v>3</x:v>
      </x:c>
      <x:c r="G141" s="2" t="n">
        <x:v>1</x:v>
      </x:c>
      <x:c r="H141" s="2" t="n">
        <x:v>3</x:v>
      </x:c>
      <x:c r="I141" s="2" t="n">
        <x:v>1</x:v>
      </x:c>
      <x:c r="J141" s="7" t="n">
        <x:v>0.16933459999927436</x:v>
      </x:c>
      <x:c r="K141" s="7" t="n">
        <x:f>IF(G141&gt;0,1,0)</x:f>
        <x:v>1</x:v>
      </x:c>
      <x:c r="L141" s="7" t="n">
        <x:f>IF(E141="",0,1/E141)</x:f>
        <x:v>0.5</x:v>
      </x:c>
      <x:c r="M141" s="7" t="n">
        <x:f>G141/F141</x:f>
        <x:v>0.3333333333333333</x:v>
      </x:c>
      <x:c r="N141" s="7" t="n">
        <x:f>I141/H141</x:f>
        <x:v>0.3333333333333333</x:v>
      </x:c>
      <x:c r="O141" s="7" t="n">
        <x:f>IF(I141=H141,1,0)</x:f>
        <x:v>0</x:v>
      </x:c>
    </x:row>
    <x:row r="142" ht="23" customHeight="1">
      <x:c r="A142" s="2" t="str">
        <x:v>R002</x:v>
      </x:c>
      <x:c r="B142" s="2" t="str">
        <x:v>rerank10</x:v>
      </x:c>
      <x:c r="C142" s="2" t="str">
        <x:v>reasoning</x:v>
      </x:c>
      <x:c r="D142" s="2" t="str">
        <x:v>zh</x:v>
      </x:c>
      <x:c r="E142" s="2" t="n">
        <x:v>2</x:v>
      </x:c>
      <x:c r="F142" s="2" t="n">
        <x:v>1</x:v>
      </x:c>
      <x:c r="G142" s="2" t="n">
        <x:v>1</x:v>
      </x:c>
      <x:c r="H142" s="2" t="n">
        <x:v>1</x:v>
      </x:c>
      <x:c r="I142" s="2" t="n">
        <x:v>1</x:v>
      </x:c>
      <x:c r="J142" s="7" t="n">
        <x:v>4.693952099998569</x:v>
      </x:c>
      <x:c r="K142" s="7" t="n">
        <x:f>IF(G142&gt;0,1,0)</x:f>
        <x:v>1</x:v>
      </x:c>
      <x:c r="L142" s="7" t="n">
        <x:f>IF(E142="",0,1/E142)</x:f>
        <x:v>0.5</x:v>
      </x:c>
      <x:c r="M142" s="7" t="n">
        <x:f>G142/F142</x:f>
        <x:v>1</x:v>
      </x:c>
      <x:c r="N142" s="7" t="n">
        <x:f>I142/H142</x:f>
        <x:v>1</x:v>
      </x:c>
      <x:c r="O142" s="7" t="n">
        <x:f>IF(I142=H142,1,0)</x:f>
        <x:v>1</x:v>
      </x:c>
    </x:row>
    <x:row r="143" ht="23" customHeight="1">
      <x:c r="A143" s="2" t="str">
        <x:v>R002</x:v>
      </x:c>
      <x:c r="B143" s="2" t="str">
        <x:v>rerank40</x:v>
      </x:c>
      <x:c r="C143" s="2" t="str">
        <x:v>reasoning</x:v>
      </x:c>
      <x:c r="D143" s="2" t="str">
        <x:v>zh</x:v>
      </x:c>
      <x:c r="E143" s="2" t="n">
        <x:v>3</x:v>
      </x:c>
      <x:c r="F143" s="2" t="n">
        <x:v>1</x:v>
      </x:c>
      <x:c r="G143" s="2" t="n">
        <x:v>1</x:v>
      </x:c>
      <x:c r="H143" s="2" t="n">
        <x:v>1</x:v>
      </x:c>
      <x:c r="I143" s="2" t="n">
        <x:v>1</x:v>
      </x:c>
      <x:c r="J143" s="7" t="n">
        <x:v>16.159020399998553</x:v>
      </x:c>
      <x:c r="K143" s="7" t="n">
        <x:f>IF(G143&gt;0,1,0)</x:f>
        <x:v>1</x:v>
      </x:c>
      <x:c r="L143" s="7" t="n">
        <x:f>IF(E143="",0,1/E143)</x:f>
        <x:v>0.3333333333333333</x:v>
      </x:c>
      <x:c r="M143" s="7" t="n">
        <x:f>G143/F143</x:f>
        <x:v>1</x:v>
      </x:c>
      <x:c r="N143" s="7" t="n">
        <x:f>I143/H143</x:f>
        <x:v>1</x:v>
      </x:c>
      <x:c r="O143" s="7" t="n">
        <x:f>IF(I143=H143,1,0)</x:f>
        <x:v>1</x:v>
      </x:c>
    </x:row>
    <x:row r="144" ht="23" customHeight="1">
      <x:c r="A144" s="2" t="str">
        <x:v>R002</x:v>
      </x:c>
      <x:c r="B144" s="2" t="str">
        <x:v>vector</x:v>
      </x:c>
      <x:c r="C144" s="2" t="str">
        <x:v>reasoning</x:v>
      </x:c>
      <x:c r="D144" s="2" t="str">
        <x:v>zh</x:v>
      </x:c>
      <x:c r="E144" s="2" t="n">
        <x:v>1</x:v>
      </x:c>
      <x:c r="F144" s="2" t="n">
        <x:v>1</x:v>
      </x:c>
      <x:c r="G144" s="2" t="n">
        <x:v>1</x:v>
      </x:c>
      <x:c r="H144" s="2" t="n">
        <x:v>1</x:v>
      </x:c>
      <x:c r="I144" s="2" t="n">
        <x:v>1</x:v>
      </x:c>
      <x:c r="J144" s="7" t="n">
        <x:v>0.08717590000014752</x:v>
      </x:c>
      <x:c r="K144" s="7" t="n">
        <x:f>IF(G144&gt;0,1,0)</x:f>
        <x:v>1</x:v>
      </x:c>
      <x:c r="L144" s="7" t="n">
        <x:f>IF(E144="",0,1/E144)</x:f>
        <x:v>1</x:v>
      </x:c>
      <x:c r="M144" s="7" t="n">
        <x:f>G144/F144</x:f>
        <x:v>1</x:v>
      </x:c>
      <x:c r="N144" s="7" t="n">
        <x:f>I144/H144</x:f>
        <x:v>1</x:v>
      </x:c>
      <x:c r="O144" s="7" t="n">
        <x:f>IF(I144=H144,1,0)</x:f>
        <x:v>1</x:v>
      </x:c>
    </x:row>
    <x:row r="145" ht="23" customHeight="1">
      <x:c r="A145" s="2" t="str">
        <x:v>R002</x:v>
      </x:c>
      <x:c r="B145" s="2" t="str">
        <x:v>hybrid</x:v>
      </x:c>
      <x:c r="C145" s="2" t="str">
        <x:v>reasoning</x:v>
      </x:c>
      <x:c r="D145" s="2" t="str">
        <x:v>zh</x:v>
      </x:c>
      <x:c r="E145" s="2" t="n">
        <x:v>2</x:v>
      </x:c>
      <x:c r="F145" s="2" t="n">
        <x:v>1</x:v>
      </x:c>
      <x:c r="G145" s="2" t="n">
        <x:v>1</x:v>
      </x:c>
      <x:c r="H145" s="2" t="n">
        <x:v>1</x:v>
      </x:c>
      <x:c r="I145" s="2" t="n">
        <x:v>1</x:v>
      </x:c>
      <x:c r="J145" s="7" t="n">
        <x:v>0.17107709999982035</x:v>
      </x:c>
      <x:c r="K145" s="7" t="n">
        <x:f>IF(G145&gt;0,1,0)</x:f>
        <x:v>1</x:v>
      </x:c>
      <x:c r="L145" s="7" t="n">
        <x:f>IF(E145="",0,1/E145)</x:f>
        <x:v>0.5</x:v>
      </x:c>
      <x:c r="M145" s="7" t="n">
        <x:f>G145/F145</x:f>
        <x:v>1</x:v>
      </x:c>
      <x:c r="N145" s="7" t="n">
        <x:f>I145/H145</x:f>
        <x:v>1</x:v>
      </x:c>
      <x:c r="O145" s="7" t="n">
        <x:f>IF(I145=H145,1,0)</x:f>
        <x:v>1</x:v>
      </x:c>
    </x:row>
    <x:row r="146" ht="23" customHeight="1">
      <x:c r="A146" s="2" t="str">
        <x:v>R002</x:v>
      </x:c>
      <x:c r="B146" s="2" t="str">
        <x:v>rerank20</x:v>
      </x:c>
      <x:c r="C146" s="2" t="str">
        <x:v>reasoning</x:v>
      </x:c>
      <x:c r="D146" s="2" t="str">
        <x:v>zh</x:v>
      </x:c>
      <x:c r="E146" s="2" t="n">
        <x:v>2</x:v>
      </x:c>
      <x:c r="F146" s="2" t="n">
        <x:v>1</x:v>
      </x:c>
      <x:c r="G146" s="2" t="n">
        <x:v>1</x:v>
      </x:c>
      <x:c r="H146" s="2" t="n">
        <x:v>1</x:v>
      </x:c>
      <x:c r="I146" s="2" t="n">
        <x:v>1</x:v>
      </x:c>
      <x:c r="J146" s="7" t="n">
        <x:v>7.472605800001475</x:v>
      </x:c>
      <x:c r="K146" s="7" t="n">
        <x:f>IF(G146&gt;0,1,0)</x:f>
        <x:v>1</x:v>
      </x:c>
      <x:c r="L146" s="7" t="n">
        <x:f>IF(E146="",0,1/E146)</x:f>
        <x:v>0.5</x:v>
      </x:c>
      <x:c r="M146" s="7" t="n">
        <x:f>G146/F146</x:f>
        <x:v>1</x:v>
      </x:c>
      <x:c r="N146" s="7" t="n">
        <x:f>I146/H146</x:f>
        <x:v>1</x:v>
      </x:c>
      <x:c r="O146" s="7" t="n">
        <x:f>IF(I146=H146,1,0)</x:f>
        <x:v>1</x:v>
      </x:c>
    </x:row>
    <x:row r="147" ht="23" customHeight="1">
      <x:c r="A147" s="2" t="str">
        <x:v>F011</x:v>
      </x:c>
      <x:c r="B147" s="2" t="str">
        <x:v>rerank40</x:v>
      </x:c>
      <x:c r="C147" s="2" t="str">
        <x:v>fact</x:v>
      </x:c>
      <x:c r="D147" s="2" t="str">
        <x:v>zh</x:v>
      </x:c>
      <x:c r="E147" s="2" t="n">
        <x:v>2</x:v>
      </x:c>
      <x:c r="F147" s="2" t="n">
        <x:v>1</x:v>
      </x:c>
      <x:c r="G147" s="2" t="n">
        <x:v>1</x:v>
      </x:c>
      <x:c r="H147" s="2" t="n">
        <x:v>1</x:v>
      </x:c>
      <x:c r="I147" s="2" t="n">
        <x:v>1</x:v>
      </x:c>
      <x:c r="J147" s="7" t="n">
        <x:v>25.001550099997985</x:v>
      </x:c>
      <x:c r="K147" s="7" t="n">
        <x:f>IF(G147&gt;0,1,0)</x:f>
        <x:v>1</x:v>
      </x:c>
      <x:c r="L147" s="7" t="n">
        <x:f>IF(E147="",0,1/E147)</x:f>
        <x:v>0.5</x:v>
      </x:c>
      <x:c r="M147" s="7" t="n">
        <x:f>G147/F147</x:f>
        <x:v>1</x:v>
      </x:c>
      <x:c r="N147" s="7" t="n">
        <x:f>I147/H147</x:f>
        <x:v>1</x:v>
      </x:c>
      <x:c r="O147" s="7" t="n">
        <x:f>IF(I147=H147,1,0)</x:f>
        <x:v>1</x:v>
      </x:c>
    </x:row>
    <x:row r="148" ht="23" customHeight="1">
      <x:c r="A148" s="2" t="str">
        <x:v>F011</x:v>
      </x:c>
      <x:c r="B148" s="2" t="str">
        <x:v>vector</x:v>
      </x:c>
      <x:c r="C148" s="2" t="str">
        <x:v>fact</x:v>
      </x:c>
      <x:c r="D148" s="2" t="str">
        <x:v>zh</x:v>
      </x:c>
      <x:c r="E148" s="2"/>
      <x:c r="F148" s="2" t="n">
        <x:v>1</x:v>
      </x:c>
      <x:c r="G148" s="2" t="n">
        <x:v>0</x:v>
      </x:c>
      <x:c r="H148" s="2" t="n">
        <x:v>1</x:v>
      </x:c>
      <x:c r="I148" s="2" t="n">
        <x:v>0</x:v>
      </x:c>
      <x:c r="J148" s="7" t="n">
        <x:v>0.11349350000091363</x:v>
      </x:c>
      <x:c r="K148" s="7" t="n">
        <x:f>IF(G148&gt;0,1,0)</x:f>
        <x:v>0</x:v>
      </x:c>
      <x:c r="L148" s="7" t="n">
        <x:f>IF(E148="",0,1/E148)</x:f>
        <x:v>0</x:v>
      </x:c>
      <x:c r="M148" s="7" t="n">
        <x:f>G148/F148</x:f>
        <x:v>0</x:v>
      </x:c>
      <x:c r="N148" s="7" t="n">
        <x:f>I148/H148</x:f>
        <x:v>0</x:v>
      </x:c>
      <x:c r="O148" s="7" t="n">
        <x:f>IF(I148=H148,1,0)</x:f>
        <x:v>0</x:v>
      </x:c>
    </x:row>
    <x:row r="149" ht="23" customHeight="1">
      <x:c r="A149" s="2" t="str">
        <x:v>F011</x:v>
      </x:c>
      <x:c r="B149" s="2" t="str">
        <x:v>hybrid</x:v>
      </x:c>
      <x:c r="C149" s="2" t="str">
        <x:v>fact</x:v>
      </x:c>
      <x:c r="D149" s="2" t="str">
        <x:v>zh</x:v>
      </x:c>
      <x:c r="E149" s="2"/>
      <x:c r="F149" s="2" t="n">
        <x:v>1</x:v>
      </x:c>
      <x:c r="G149" s="2" t="n">
        <x:v>0</x:v>
      </x:c>
      <x:c r="H149" s="2" t="n">
        <x:v>1</x:v>
      </x:c>
      <x:c r="I149" s="2" t="n">
        <x:v>0</x:v>
      </x:c>
      <x:c r="J149" s="7" t="n">
        <x:v>0.19038780000119004</x:v>
      </x:c>
      <x:c r="K149" s="7" t="n">
        <x:f>IF(G149&gt;0,1,0)</x:f>
        <x:v>0</x:v>
      </x:c>
      <x:c r="L149" s="7" t="n">
        <x:f>IF(E149="",0,1/E149)</x:f>
        <x:v>0</x:v>
      </x:c>
      <x:c r="M149" s="7" t="n">
        <x:f>G149/F149</x:f>
        <x:v>0</x:v>
      </x:c>
      <x:c r="N149" s="7" t="n">
        <x:f>I149/H149</x:f>
        <x:v>0</x:v>
      </x:c>
      <x:c r="O149" s="7" t="n">
        <x:f>IF(I149=H149,1,0)</x:f>
        <x:v>0</x:v>
      </x:c>
    </x:row>
    <x:row r="150" ht="23" customHeight="1">
      <x:c r="A150" s="2" t="str">
        <x:v>F011</x:v>
      </x:c>
      <x:c r="B150" s="2" t="str">
        <x:v>rerank20</x:v>
      </x:c>
      <x:c r="C150" s="2" t="str">
        <x:v>fact</x:v>
      </x:c>
      <x:c r="D150" s="2" t="str">
        <x:v>zh</x:v>
      </x:c>
      <x:c r="E150" s="2" t="n">
        <x:v>1</x:v>
      </x:c>
      <x:c r="F150" s="2" t="n">
        <x:v>1</x:v>
      </x:c>
      <x:c r="G150" s="2" t="n">
        <x:v>1</x:v>
      </x:c>
      <x:c r="H150" s="2" t="n">
        <x:v>1</x:v>
      </x:c>
      <x:c r="I150" s="2" t="n">
        <x:v>1</x:v>
      </x:c>
      <x:c r="J150" s="7" t="n">
        <x:v>15.275875100000121</x:v>
      </x:c>
      <x:c r="K150" s="7" t="n">
        <x:f>IF(G150&gt;0,1,0)</x:f>
        <x:v>1</x:v>
      </x:c>
      <x:c r="L150" s="7" t="n">
        <x:f>IF(E150="",0,1/E150)</x:f>
        <x:v>1</x:v>
      </x:c>
      <x:c r="M150" s="7" t="n">
        <x:f>G150/F150</x:f>
        <x:v>1</x:v>
      </x:c>
      <x:c r="N150" s="7" t="n">
        <x:f>I150/H150</x:f>
        <x:v>1</x:v>
      </x:c>
      <x:c r="O150" s="7" t="n">
        <x:f>IF(I150=H150,1,0)</x:f>
        <x:v>1</x:v>
      </x:c>
    </x:row>
    <x:row r="151" ht="23" customHeight="1">
      <x:c r="A151" s="2" t="str">
        <x:v>F011</x:v>
      </x:c>
      <x:c r="B151" s="2" t="str">
        <x:v>rerank10</x:v>
      </x:c>
      <x:c r="C151" s="2" t="str">
        <x:v>fact</x:v>
      </x:c>
      <x:c r="D151" s="2" t="str">
        <x:v>zh</x:v>
      </x:c>
      <x:c r="E151" s="2" t="n">
        <x:v>1</x:v>
      </x:c>
      <x:c r="F151" s="2" t="n">
        <x:v>1</x:v>
      </x:c>
      <x:c r="G151" s="2" t="n">
        <x:v>1</x:v>
      </x:c>
      <x:c r="H151" s="2" t="n">
        <x:v>1</x:v>
      </x:c>
      <x:c r="I151" s="2" t="n">
        <x:v>1</x:v>
      </x:c>
      <x:c r="J151" s="7" t="n">
        <x:v>4.194299499999033</x:v>
      </x:c>
      <x:c r="K151" s="7" t="n">
        <x:f>IF(G151&gt;0,1,0)</x:f>
        <x:v>1</x:v>
      </x:c>
      <x:c r="L151" s="7" t="n">
        <x:f>IF(E151="",0,1/E151)</x:f>
        <x:v>1</x:v>
      </x:c>
      <x:c r="M151" s="7" t="n">
        <x:f>G151/F151</x:f>
        <x:v>1</x:v>
      </x:c>
      <x:c r="N151" s="7" t="n">
        <x:f>I151/H151</x:f>
        <x:v>1</x:v>
      </x:c>
      <x:c r="O151" s="7" t="n">
        <x:f>IF(I151=H151,1,0)</x:f>
        <x:v>1</x:v>
      </x:c>
    </x:row>
    <x:row r="152" ht="23" customHeight="1">
      <x:c r="A152" s="2" t="str">
        <x:v>C006</x:v>
      </x:c>
      <x:c r="B152" s="2" t="str">
        <x:v>vector</x:v>
      </x:c>
      <x:c r="C152" s="2" t="str">
        <x:v>comparison</x:v>
      </x:c>
      <x:c r="D152" s="2" t="str">
        <x:v>zh</x:v>
      </x:c>
      <x:c r="E152" s="2" t="n">
        <x:v>1</x:v>
      </x:c>
      <x:c r="F152" s="2" t="n">
        <x:v>3</x:v>
      </x:c>
      <x:c r="G152" s="2" t="n">
        <x:v>1</x:v>
      </x:c>
      <x:c r="H152" s="2" t="n">
        <x:v>2</x:v>
      </x:c>
      <x:c r="I152" s="2" t="n">
        <x:v>1</x:v>
      </x:c>
      <x:c r="J152" s="7" t="n">
        <x:v>0.13747499999954016</x:v>
      </x:c>
      <x:c r="K152" s="7" t="n">
        <x:f>IF(G152&gt;0,1,0)</x:f>
        <x:v>1</x:v>
      </x:c>
      <x:c r="L152" s="7" t="n">
        <x:f>IF(E152="",0,1/E152)</x:f>
        <x:v>1</x:v>
      </x:c>
      <x:c r="M152" s="7" t="n">
        <x:f>G152/F152</x:f>
        <x:v>0.3333333333333333</x:v>
      </x:c>
      <x:c r="N152" s="7" t="n">
        <x:f>I152/H152</x:f>
        <x:v>0.5</x:v>
      </x:c>
      <x:c r="O152" s="7" t="n">
        <x:f>IF(I152=H152,1,0)</x:f>
        <x:v>0</x:v>
      </x:c>
    </x:row>
    <x:row r="153" ht="23" customHeight="1">
      <x:c r="A153" s="2" t="str">
        <x:v>C006</x:v>
      </x:c>
      <x:c r="B153" s="2" t="str">
        <x:v>hybrid</x:v>
      </x:c>
      <x:c r="C153" s="2" t="str">
        <x:v>comparison</x:v>
      </x:c>
      <x:c r="D153" s="2" t="str">
        <x:v>zh</x:v>
      </x:c>
      <x:c r="E153" s="2" t="n">
        <x:v>5</x:v>
      </x:c>
      <x:c r="F153" s="2" t="n">
        <x:v>3</x:v>
      </x:c>
      <x:c r="G153" s="2" t="n">
        <x:v>1</x:v>
      </x:c>
      <x:c r="H153" s="2" t="n">
        <x:v>2</x:v>
      </x:c>
      <x:c r="I153" s="2" t="n">
        <x:v>1</x:v>
      </x:c>
      <x:c r="J153" s="7" t="n">
        <x:v>0.23688269999911427</x:v>
      </x:c>
      <x:c r="K153" s="7" t="n">
        <x:f>IF(G153&gt;0,1,0)</x:f>
        <x:v>1</x:v>
      </x:c>
      <x:c r="L153" s="7" t="n">
        <x:f>IF(E153="",0,1/E153)</x:f>
        <x:v>0.2</x:v>
      </x:c>
      <x:c r="M153" s="7" t="n">
        <x:f>G153/F153</x:f>
        <x:v>0.3333333333333333</x:v>
      </x:c>
      <x:c r="N153" s="7" t="n">
        <x:f>I153/H153</x:f>
        <x:v>0.5</x:v>
      </x:c>
      <x:c r="O153" s="7" t="n">
        <x:f>IF(I153=H153,1,0)</x:f>
        <x:v>0</x:v>
      </x:c>
    </x:row>
    <x:row r="154" ht="23" customHeight="1">
      <x:c r="A154" s="2" t="str">
        <x:v>C006</x:v>
      </x:c>
      <x:c r="B154" s="2" t="str">
        <x:v>rerank20</x:v>
      </x:c>
      <x:c r="C154" s="2" t="str">
        <x:v>comparison</x:v>
      </x:c>
      <x:c r="D154" s="2" t="str">
        <x:v>zh</x:v>
      </x:c>
      <x:c r="E154" s="2" t="n">
        <x:v>2</x:v>
      </x:c>
      <x:c r="F154" s="2" t="n">
        <x:v>3</x:v>
      </x:c>
      <x:c r="G154" s="2" t="n">
        <x:v>1</x:v>
      </x:c>
      <x:c r="H154" s="2" t="n">
        <x:v>2</x:v>
      </x:c>
      <x:c r="I154" s="2" t="n">
        <x:v>1</x:v>
      </x:c>
      <x:c r="J154" s="7" t="n">
        <x:v>10.24433019999924</x:v>
      </x:c>
      <x:c r="K154" s="7" t="n">
        <x:f>IF(G154&gt;0,1,0)</x:f>
        <x:v>1</x:v>
      </x:c>
      <x:c r="L154" s="7" t="n">
        <x:f>IF(E154="",0,1/E154)</x:f>
        <x:v>0.5</x:v>
      </x:c>
      <x:c r="M154" s="7" t="n">
        <x:f>G154/F154</x:f>
        <x:v>0.3333333333333333</x:v>
      </x:c>
      <x:c r="N154" s="7" t="n">
        <x:f>I154/H154</x:f>
        <x:v>0.5</x:v>
      </x:c>
      <x:c r="O154" s="7" t="n">
        <x:f>IF(I154=H154,1,0)</x:f>
        <x:v>0</x:v>
      </x:c>
    </x:row>
    <x:row r="155" ht="23" customHeight="1">
      <x:c r="A155" s="2" t="str">
        <x:v>C006</x:v>
      </x:c>
      <x:c r="B155" s="2" t="str">
        <x:v>rerank10</x:v>
      </x:c>
      <x:c r="C155" s="2" t="str">
        <x:v>comparison</x:v>
      </x:c>
      <x:c r="D155" s="2" t="str">
        <x:v>zh</x:v>
      </x:c>
      <x:c r="E155" s="2" t="n">
        <x:v>1</x:v>
      </x:c>
      <x:c r="F155" s="2" t="n">
        <x:v>3</x:v>
      </x:c>
      <x:c r="G155" s="2" t="n">
        <x:v>1</x:v>
      </x:c>
      <x:c r="H155" s="2" t="n">
        <x:v>2</x:v>
      </x:c>
      <x:c r="I155" s="2" t="n">
        <x:v>1</x:v>
      </x:c>
      <x:c r="J155" s="7" t="n">
        <x:v>5.321899400001712</x:v>
      </x:c>
      <x:c r="K155" s="7" t="n">
        <x:f>IF(G155&gt;0,1,0)</x:f>
        <x:v>1</x:v>
      </x:c>
      <x:c r="L155" s="7" t="n">
        <x:f>IF(E155="",0,1/E155)</x:f>
        <x:v>1</x:v>
      </x:c>
      <x:c r="M155" s="7" t="n">
        <x:f>G155/F155</x:f>
        <x:v>0.3333333333333333</x:v>
      </x:c>
      <x:c r="N155" s="7" t="n">
        <x:f>I155/H155</x:f>
        <x:v>0.5</x:v>
      </x:c>
      <x:c r="O155" s="7" t="n">
        <x:f>IF(I155=H155,1,0)</x:f>
        <x:v>0</x:v>
      </x:c>
    </x:row>
    <x:row r="156" ht="23" customHeight="1">
      <x:c r="A156" s="2" t="str">
        <x:v>C006</x:v>
      </x:c>
      <x:c r="B156" s="2" t="str">
        <x:v>rerank40</x:v>
      </x:c>
      <x:c r="C156" s="2" t="str">
        <x:v>comparison</x:v>
      </x:c>
      <x:c r="D156" s="2" t="str">
        <x:v>zh</x:v>
      </x:c>
      <x:c r="E156" s="2" t="n">
        <x:v>2</x:v>
      </x:c>
      <x:c r="F156" s="2" t="n">
        <x:v>3</x:v>
      </x:c>
      <x:c r="G156" s="2" t="n">
        <x:v>1</x:v>
      </x:c>
      <x:c r="H156" s="2" t="n">
        <x:v>2</x:v>
      </x:c>
      <x:c r="I156" s="2" t="n">
        <x:v>1</x:v>
      </x:c>
      <x:c r="J156" s="7" t="n">
        <x:v>21.180941300000995</x:v>
      </x:c>
      <x:c r="K156" s="7" t="n">
        <x:f>IF(G156&gt;0,1,0)</x:f>
        <x:v>1</x:v>
      </x:c>
      <x:c r="L156" s="7" t="n">
        <x:f>IF(E156="",0,1/E156)</x:f>
        <x:v>0.5</x:v>
      </x:c>
      <x:c r="M156" s="7" t="n">
        <x:f>G156/F156</x:f>
        <x:v>0.3333333333333333</x:v>
      </x:c>
      <x:c r="N156" s="7" t="n">
        <x:f>I156/H156</x:f>
        <x:v>0.5</x:v>
      </x:c>
      <x:c r="O156" s="7" t="n">
        <x:f>IF(I156=H156,1,0)</x:f>
        <x:v>0</x:v>
      </x:c>
    </x:row>
    <x:row r="157" ht="23" customHeight="1">
      <x:c r="A157" s="2" t="str">
        <x:v>S014</x:v>
      </x:c>
      <x:c r="B157" s="2" t="str">
        <x:v>hybrid</x:v>
      </x:c>
      <x:c r="C157" s="2" t="str">
        <x:v>synthesis</x:v>
      </x:c>
      <x:c r="D157" s="2" t="str">
        <x:v>en</x:v>
      </x:c>
      <x:c r="E157" s="2"/>
      <x:c r="F157" s="2" t="n">
        <x:v>5</x:v>
      </x:c>
      <x:c r="G157" s="2" t="n">
        <x:v>0</x:v>
      </x:c>
      <x:c r="H157" s="2" t="n">
        <x:v>5</x:v>
      </x:c>
      <x:c r="I157" s="2" t="n">
        <x:v>0</x:v>
      </x:c>
      <x:c r="J157" s="7" t="n">
        <x:v>0.2602420000002894</x:v>
      </x:c>
      <x:c r="K157" s="7" t="n">
        <x:f>IF(G157&gt;0,1,0)</x:f>
        <x:v>0</x:v>
      </x:c>
      <x:c r="L157" s="7" t="n">
        <x:f>IF(E157="",0,1/E157)</x:f>
        <x:v>0</x:v>
      </x:c>
      <x:c r="M157" s="7" t="n">
        <x:f>G157/F157</x:f>
        <x:v>0</x:v>
      </x:c>
      <x:c r="N157" s="7" t="n">
        <x:f>I157/H157</x:f>
        <x:v>0</x:v>
      </x:c>
      <x:c r="O157" s="7" t="n">
        <x:f>IF(I157=H157,1,0)</x:f>
        <x:v>0</x:v>
      </x:c>
    </x:row>
    <x:row r="158" ht="23" customHeight="1">
      <x:c r="A158" s="2" t="str">
        <x:v>S014</x:v>
      </x:c>
      <x:c r="B158" s="2" t="str">
        <x:v>rerank20</x:v>
      </x:c>
      <x:c r="C158" s="2" t="str">
        <x:v>synthesis</x:v>
      </x:c>
      <x:c r="D158" s="2" t="str">
        <x:v>en</x:v>
      </x:c>
      <x:c r="E158" s="2" t="n">
        <x:v>4</x:v>
      </x:c>
      <x:c r="F158" s="2" t="n">
        <x:v>5</x:v>
      </x:c>
      <x:c r="G158" s="2" t="n">
        <x:v>1</x:v>
      </x:c>
      <x:c r="H158" s="2" t="n">
        <x:v>5</x:v>
      </x:c>
      <x:c r="I158" s="2" t="n">
        <x:v>1</x:v>
      </x:c>
      <x:c r="J158" s="7" t="n">
        <x:v>8.17470400000093</x:v>
      </x:c>
      <x:c r="K158" s="7" t="n">
        <x:f>IF(G158&gt;0,1,0)</x:f>
        <x:v>1</x:v>
      </x:c>
      <x:c r="L158" s="7" t="n">
        <x:f>IF(E158="",0,1/E158)</x:f>
        <x:v>0.25</x:v>
      </x:c>
      <x:c r="M158" s="7" t="n">
        <x:f>G158/F158</x:f>
        <x:v>0.2</x:v>
      </x:c>
      <x:c r="N158" s="7" t="n">
        <x:f>I158/H158</x:f>
        <x:v>0.2</x:v>
      </x:c>
      <x:c r="O158" s="7" t="n">
        <x:f>IF(I158=H158,1,0)</x:f>
        <x:v>0</x:v>
      </x:c>
    </x:row>
    <x:row r="159" ht="23" customHeight="1">
      <x:c r="A159" s="2" t="str">
        <x:v>S014</x:v>
      </x:c>
      <x:c r="B159" s="2" t="str">
        <x:v>rerank10</x:v>
      </x:c>
      <x:c r="C159" s="2" t="str">
        <x:v>synthesis</x:v>
      </x:c>
      <x:c r="D159" s="2" t="str">
        <x:v>en</x:v>
      </x:c>
      <x:c r="E159" s="2" t="n">
        <x:v>3</x:v>
      </x:c>
      <x:c r="F159" s="2" t="n">
        <x:v>5</x:v>
      </x:c>
      <x:c r="G159" s="2" t="n">
        <x:v>1</x:v>
      </x:c>
      <x:c r="H159" s="2" t="n">
        <x:v>5</x:v>
      </x:c>
      <x:c r="I159" s="2" t="n">
        <x:v>1</x:v>
      </x:c>
      <x:c r="J159" s="7" t="n">
        <x:v>3.532731800001784</x:v>
      </x:c>
      <x:c r="K159" s="7" t="n">
        <x:f>IF(G159&gt;0,1,0)</x:f>
        <x:v>1</x:v>
      </x:c>
      <x:c r="L159" s="7" t="n">
        <x:f>IF(E159="",0,1/E159)</x:f>
        <x:v>0.3333333333333333</x:v>
      </x:c>
      <x:c r="M159" s="7" t="n">
        <x:f>G159/F159</x:f>
        <x:v>0.2</x:v>
      </x:c>
      <x:c r="N159" s="7" t="n">
        <x:f>I159/H159</x:f>
        <x:v>0.2</x:v>
      </x:c>
      <x:c r="O159" s="7" t="n">
        <x:f>IF(I159=H159,1,0)</x:f>
        <x:v>0</x:v>
      </x:c>
    </x:row>
    <x:row r="160" ht="23" customHeight="1">
      <x:c r="A160" s="2" t="str">
        <x:v>S014</x:v>
      </x:c>
      <x:c r="B160" s="2" t="str">
        <x:v>rerank40</x:v>
      </x:c>
      <x:c r="C160" s="2" t="str">
        <x:v>synthesis</x:v>
      </x:c>
      <x:c r="D160" s="2" t="str">
        <x:v>en</x:v>
      </x:c>
      <x:c r="E160" s="2"/>
      <x:c r="F160" s="2" t="n">
        <x:v>5</x:v>
      </x:c>
      <x:c r="G160" s="2" t="n">
        <x:v>0</x:v>
      </x:c>
      <x:c r="H160" s="2" t="n">
        <x:v>5</x:v>
      </x:c>
      <x:c r="I160" s="2" t="n">
        <x:v>0</x:v>
      </x:c>
      <x:c r="J160" s="7" t="n">
        <x:v>13.236921100000473</x:v>
      </x:c>
      <x:c r="K160" s="7" t="n">
        <x:f>IF(G160&gt;0,1,0)</x:f>
        <x:v>0</x:v>
      </x:c>
      <x:c r="L160" s="7" t="n">
        <x:f>IF(E160="",0,1/E160)</x:f>
        <x:v>0</x:v>
      </x:c>
      <x:c r="M160" s="7" t="n">
        <x:f>G160/F160</x:f>
        <x:v>0</x:v>
      </x:c>
      <x:c r="N160" s="7" t="n">
        <x:f>I160/H160</x:f>
        <x:v>0</x:v>
      </x:c>
      <x:c r="O160" s="7" t="n">
        <x:f>IF(I160=H160,1,0)</x:f>
        <x:v>0</x:v>
      </x:c>
    </x:row>
    <x:row r="161" ht="23" customHeight="1">
      <x:c r="A161" s="2" t="str">
        <x:v>S014</x:v>
      </x:c>
      <x:c r="B161" s="2" t="str">
        <x:v>vector</x:v>
      </x:c>
      <x:c r="C161" s="2" t="str">
        <x:v>synthesis</x:v>
      </x:c>
      <x:c r="D161" s="2" t="str">
        <x:v>en</x:v>
      </x:c>
      <x:c r="E161" s="2" t="n">
        <x:v>5</x:v>
      </x:c>
      <x:c r="F161" s="2" t="n">
        <x:v>5</x:v>
      </x:c>
      <x:c r="G161" s="2" t="n">
        <x:v>1</x:v>
      </x:c>
      <x:c r="H161" s="2" t="n">
        <x:v>5</x:v>
      </x:c>
      <x:c r="I161" s="2" t="n">
        <x:v>1</x:v>
      </x:c>
      <x:c r="J161" s="7" t="n">
        <x:v>0.09226570000100764</x:v>
      </x:c>
      <x:c r="K161" s="7" t="n">
        <x:f>IF(G161&gt;0,1,0)</x:f>
        <x:v>1</x:v>
      </x:c>
      <x:c r="L161" s="7" t="n">
        <x:f>IF(E161="",0,1/E161)</x:f>
        <x:v>0.2</x:v>
      </x:c>
      <x:c r="M161" s="7" t="n">
        <x:f>G161/F161</x:f>
        <x:v>0.2</x:v>
      </x:c>
      <x:c r="N161" s="7" t="n">
        <x:f>I161/H161</x:f>
        <x:v>0.2</x:v>
      </x:c>
      <x:c r="O161" s="7" t="n">
        <x:f>IF(I161=H161,1,0)</x:f>
        <x:v>0</x:v>
      </x:c>
    </x:row>
    <x:row r="162" ht="23" customHeight="1">
      <x:c r="A162" s="2" t="str">
        <x:v>S015</x:v>
      </x:c>
      <x:c r="B162" s="2" t="str">
        <x:v>rerank20</x:v>
      </x:c>
      <x:c r="C162" s="2" t="str">
        <x:v>synthesis</x:v>
      </x:c>
      <x:c r="D162" s="2" t="str">
        <x:v>zh</x:v>
      </x:c>
      <x:c r="E162" s="2" t="n">
        <x:v>3</x:v>
      </x:c>
      <x:c r="F162" s="2" t="n">
        <x:v>4</x:v>
      </x:c>
      <x:c r="G162" s="2" t="n">
        <x:v>1</x:v>
      </x:c>
      <x:c r="H162" s="2" t="n">
        <x:v>3</x:v>
      </x:c>
      <x:c r="I162" s="2" t="n">
        <x:v>1</x:v>
      </x:c>
      <x:c r="J162" s="7" t="n">
        <x:v>11.440120900002512</x:v>
      </x:c>
      <x:c r="K162" s="7" t="n">
        <x:f>IF(G162&gt;0,1,0)</x:f>
        <x:v>1</x:v>
      </x:c>
      <x:c r="L162" s="7" t="n">
        <x:f>IF(E162="",0,1/E162)</x:f>
        <x:v>0.3333333333333333</x:v>
      </x:c>
      <x:c r="M162" s="7" t="n">
        <x:f>G162/F162</x:f>
        <x:v>0.25</x:v>
      </x:c>
      <x:c r="N162" s="7" t="n">
        <x:f>I162/H162</x:f>
        <x:v>0.3333333333333333</x:v>
      </x:c>
      <x:c r="O162" s="7" t="n">
        <x:f>IF(I162=H162,1,0)</x:f>
        <x:v>0</x:v>
      </x:c>
    </x:row>
    <x:row r="163" ht="23" customHeight="1">
      <x:c r="A163" s="2" t="str">
        <x:v>S015</x:v>
      </x:c>
      <x:c r="B163" s="2" t="str">
        <x:v>rerank10</x:v>
      </x:c>
      <x:c r="C163" s="2" t="str">
        <x:v>synthesis</x:v>
      </x:c>
      <x:c r="D163" s="2" t="str">
        <x:v>zh</x:v>
      </x:c>
      <x:c r="E163" s="2" t="n">
        <x:v>3</x:v>
      </x:c>
      <x:c r="F163" s="2" t="n">
        <x:v>4</x:v>
      </x:c>
      <x:c r="G163" s="2" t="n">
        <x:v>1</x:v>
      </x:c>
      <x:c r="H163" s="2" t="n">
        <x:v>3</x:v>
      </x:c>
      <x:c r="I163" s="2" t="n">
        <x:v>1</x:v>
      </x:c>
      <x:c r="J163" s="7" t="n">
        <x:v>7.630954600001132</x:v>
      </x:c>
      <x:c r="K163" s="7" t="n">
        <x:f>IF(G163&gt;0,1,0)</x:f>
        <x:v>1</x:v>
      </x:c>
      <x:c r="L163" s="7" t="n">
        <x:f>IF(E163="",0,1/E163)</x:f>
        <x:v>0.3333333333333333</x:v>
      </x:c>
      <x:c r="M163" s="7" t="n">
        <x:f>G163/F163</x:f>
        <x:v>0.25</x:v>
      </x:c>
      <x:c r="N163" s="7" t="n">
        <x:f>I163/H163</x:f>
        <x:v>0.3333333333333333</x:v>
      </x:c>
      <x:c r="O163" s="7" t="n">
        <x:f>IF(I163=H163,1,0)</x:f>
        <x:v>0</x:v>
      </x:c>
    </x:row>
    <x:row r="164" ht="23" customHeight="1">
      <x:c r="A164" s="2" t="str">
        <x:v>S015</x:v>
      </x:c>
      <x:c r="B164" s="2" t="str">
        <x:v>rerank40</x:v>
      </x:c>
      <x:c r="C164" s="2" t="str">
        <x:v>synthesis</x:v>
      </x:c>
      <x:c r="D164" s="2" t="str">
        <x:v>zh</x:v>
      </x:c>
      <x:c r="E164" s="2"/>
      <x:c r="F164" s="2" t="n">
        <x:v>4</x:v>
      </x:c>
      <x:c r="G164" s="2" t="n">
        <x:v>0</x:v>
      </x:c>
      <x:c r="H164" s="2" t="n">
        <x:v>3</x:v>
      </x:c>
      <x:c r="I164" s="2" t="n">
        <x:v>0</x:v>
      </x:c>
      <x:c r="J164" s="7" t="n">
        <x:v>17.717076000000816</x:v>
      </x:c>
      <x:c r="K164" s="7" t="n">
        <x:f>IF(G164&gt;0,1,0)</x:f>
        <x:v>0</x:v>
      </x:c>
      <x:c r="L164" s="7" t="n">
        <x:f>IF(E164="",0,1/E164)</x:f>
        <x:v>0</x:v>
      </x:c>
      <x:c r="M164" s="7" t="n">
        <x:f>G164/F164</x:f>
        <x:v>0</x:v>
      </x:c>
      <x:c r="N164" s="7" t="n">
        <x:f>I164/H164</x:f>
        <x:v>0</x:v>
      </x:c>
      <x:c r="O164" s="7" t="n">
        <x:f>IF(I164=H164,1,0)</x:f>
        <x:v>0</x:v>
      </x:c>
    </x:row>
    <x:row r="165" ht="23" customHeight="1">
      <x:c r="A165" s="2" t="str">
        <x:v>S015</x:v>
      </x:c>
      <x:c r="B165" s="2" t="str">
        <x:v>vector</x:v>
      </x:c>
      <x:c r="C165" s="2" t="str">
        <x:v>synthesis</x:v>
      </x:c>
      <x:c r="D165" s="2" t="str">
        <x:v>zh</x:v>
      </x:c>
      <x:c r="E165" s="2"/>
      <x:c r="F165" s="2" t="n">
        <x:v>4</x:v>
      </x:c>
      <x:c r="G165" s="2" t="n">
        <x:v>0</x:v>
      </x:c>
      <x:c r="H165" s="2" t="n">
        <x:v>3</x:v>
      </x:c>
      <x:c r="I165" s="2" t="n">
        <x:v>0</x:v>
      </x:c>
      <x:c r="J165" s="7" t="n">
        <x:v>0.09560110000165878</x:v>
      </x:c>
      <x:c r="K165" s="7" t="n">
        <x:f>IF(G165&gt;0,1,0)</x:f>
        <x:v>0</x:v>
      </x:c>
      <x:c r="L165" s="7" t="n">
        <x:f>IF(E165="",0,1/E165)</x:f>
        <x:v>0</x:v>
      </x:c>
      <x:c r="M165" s="7" t="n">
        <x:f>G165/F165</x:f>
        <x:v>0</x:v>
      </x:c>
      <x:c r="N165" s="7" t="n">
        <x:f>I165/H165</x:f>
        <x:v>0</x:v>
      </x:c>
      <x:c r="O165" s="7" t="n">
        <x:f>IF(I165=H165,1,0)</x:f>
        <x:v>0</x:v>
      </x:c>
    </x:row>
    <x:row r="166" ht="23" customHeight="1">
      <x:c r="A166" s="2" t="str">
        <x:v>S015</x:v>
      </x:c>
      <x:c r="B166" s="2" t="str">
        <x:v>hybrid</x:v>
      </x:c>
      <x:c r="C166" s="2" t="str">
        <x:v>synthesis</x:v>
      </x:c>
      <x:c r="D166" s="2" t="str">
        <x:v>zh</x:v>
      </x:c>
      <x:c r="E166" s="2" t="n">
        <x:v>1</x:v>
      </x:c>
      <x:c r="F166" s="2" t="n">
        <x:v>4</x:v>
      </x:c>
      <x:c r="G166" s="2" t="n">
        <x:v>1</x:v>
      </x:c>
      <x:c r="H166" s="2" t="n">
        <x:v>3</x:v>
      </x:c>
      <x:c r="I166" s="2" t="n">
        <x:v>1</x:v>
      </x:c>
      <x:c r="J166" s="7" t="n">
        <x:v>0.18054259999917122</x:v>
      </x:c>
      <x:c r="K166" s="7" t="n">
        <x:f>IF(G166&gt;0,1,0)</x:f>
        <x:v>1</x:v>
      </x:c>
      <x:c r="L166" s="7" t="n">
        <x:f>IF(E166="",0,1/E166)</x:f>
        <x:v>1</x:v>
      </x:c>
      <x:c r="M166" s="7" t="n">
        <x:f>G166/F166</x:f>
        <x:v>0.25</x:v>
      </x:c>
      <x:c r="N166" s="7" t="n">
        <x:f>I166/H166</x:f>
        <x:v>0.3333333333333333</x:v>
      </x:c>
      <x:c r="O166" s="7" t="n">
        <x:f>IF(I166=H166,1,0)</x:f>
        <x:v>0</x:v>
      </x:c>
    </x:row>
    <x:row r="167" ht="23" customHeight="1">
      <x:c r="A167" s="2" t="str">
        <x:v>R005</x:v>
      </x:c>
      <x:c r="B167" s="2" t="str">
        <x:v>rerank10</x:v>
      </x:c>
      <x:c r="C167" s="2" t="str">
        <x:v>reasoning</x:v>
      </x:c>
      <x:c r="D167" s="2" t="str">
        <x:v>en</x:v>
      </x:c>
      <x:c r="E167" s="2"/>
      <x:c r="F167" s="2" t="n">
        <x:v>2</x:v>
      </x:c>
      <x:c r="G167" s="2" t="n">
        <x:v>0</x:v>
      </x:c>
      <x:c r="H167" s="2" t="n">
        <x:v>1</x:v>
      </x:c>
      <x:c r="I167" s="2" t="n">
        <x:v>0</x:v>
      </x:c>
      <x:c r="J167" s="7" t="n">
        <x:v>3.321167800000694</x:v>
      </x:c>
      <x:c r="K167" s="7" t="n">
        <x:f>IF(G167&gt;0,1,0)</x:f>
        <x:v>0</x:v>
      </x:c>
      <x:c r="L167" s="7" t="n">
        <x:f>IF(E167="",0,1/E167)</x:f>
        <x:v>0</x:v>
      </x:c>
      <x:c r="M167" s="7" t="n">
        <x:f>G167/F167</x:f>
        <x:v>0</x:v>
      </x:c>
      <x:c r="N167" s="7" t="n">
        <x:f>I167/H167</x:f>
        <x:v>0</x:v>
      </x:c>
      <x:c r="O167" s="7" t="n">
        <x:f>IF(I167=H167,1,0)</x:f>
        <x:v>0</x:v>
      </x:c>
    </x:row>
    <x:row r="168" ht="23" customHeight="1">
      <x:c r="A168" s="2" t="str">
        <x:v>R005</x:v>
      </x:c>
      <x:c r="B168" s="2" t="str">
        <x:v>rerank40</x:v>
      </x:c>
      <x:c r="C168" s="2" t="str">
        <x:v>reasoning</x:v>
      </x:c>
      <x:c r="D168" s="2" t="str">
        <x:v>en</x:v>
      </x:c>
      <x:c r="E168" s="2" t="n">
        <x:v>3</x:v>
      </x:c>
      <x:c r="F168" s="2" t="n">
        <x:v>2</x:v>
      </x:c>
      <x:c r="G168" s="2" t="n">
        <x:v>2</x:v>
      </x:c>
      <x:c r="H168" s="2" t="n">
        <x:v>1</x:v>
      </x:c>
      <x:c r="I168" s="2" t="n">
        <x:v>1</x:v>
      </x:c>
      <x:c r="J168" s="7" t="n">
        <x:v>14.857342600000266</x:v>
      </x:c>
      <x:c r="K168" s="7" t="n">
        <x:f>IF(G168&gt;0,1,0)</x:f>
        <x:v>1</x:v>
      </x:c>
      <x:c r="L168" s="7" t="n">
        <x:f>IF(E168="",0,1/E168)</x:f>
        <x:v>0.3333333333333333</x:v>
      </x:c>
      <x:c r="M168" s="7" t="n">
        <x:f>G168/F168</x:f>
        <x:v>1</x:v>
      </x:c>
      <x:c r="N168" s="7" t="n">
        <x:f>I168/H168</x:f>
        <x:v>1</x:v>
      </x:c>
      <x:c r="O168" s="7" t="n">
        <x:f>IF(I168=H168,1,0)</x:f>
        <x:v>1</x:v>
      </x:c>
    </x:row>
    <x:row r="169" ht="23" customHeight="1">
      <x:c r="A169" s="2" t="str">
        <x:v>R005</x:v>
      </x:c>
      <x:c r="B169" s="2" t="str">
        <x:v>vector</x:v>
      </x:c>
      <x:c r="C169" s="2" t="str">
        <x:v>reasoning</x:v>
      </x:c>
      <x:c r="D169" s="2" t="str">
        <x:v>en</x:v>
      </x:c>
      <x:c r="E169" s="2" t="n">
        <x:v>2</x:v>
      </x:c>
      <x:c r="F169" s="2" t="n">
        <x:v>2</x:v>
      </x:c>
      <x:c r="G169" s="2" t="n">
        <x:v>1</x:v>
      </x:c>
      <x:c r="H169" s="2" t="n">
        <x:v>1</x:v>
      </x:c>
      <x:c r="I169" s="2" t="n">
        <x:v>1</x:v>
      </x:c>
      <x:c r="J169" s="7" t="n">
        <x:v>0.09690730000147596</x:v>
      </x:c>
      <x:c r="K169" s="7" t="n">
        <x:f>IF(G169&gt;0,1,0)</x:f>
        <x:v>1</x:v>
      </x:c>
      <x:c r="L169" s="7" t="n">
        <x:f>IF(E169="",0,1/E169)</x:f>
        <x:v>0.5</x:v>
      </x:c>
      <x:c r="M169" s="7" t="n">
        <x:f>G169/F169</x:f>
        <x:v>0.5</x:v>
      </x:c>
      <x:c r="N169" s="7" t="n">
        <x:f>I169/H169</x:f>
        <x:v>1</x:v>
      </x:c>
      <x:c r="O169" s="7" t="n">
        <x:f>IF(I169=H169,1,0)</x:f>
        <x:v>1</x:v>
      </x:c>
    </x:row>
    <x:row r="170" ht="23" customHeight="1">
      <x:c r="A170" s="2" t="str">
        <x:v>R005</x:v>
      </x:c>
      <x:c r="B170" s="2" t="str">
        <x:v>hybrid</x:v>
      </x:c>
      <x:c r="C170" s="2" t="str">
        <x:v>reasoning</x:v>
      </x:c>
      <x:c r="D170" s="2" t="str">
        <x:v>en</x:v>
      </x:c>
      <x:c r="E170" s="2"/>
      <x:c r="F170" s="2" t="n">
        <x:v>2</x:v>
      </x:c>
      <x:c r="G170" s="2" t="n">
        <x:v>0</x:v>
      </x:c>
      <x:c r="H170" s="2" t="n">
        <x:v>1</x:v>
      </x:c>
      <x:c r="I170" s="2" t="n">
        <x:v>0</x:v>
      </x:c>
      <x:c r="J170" s="7" t="n">
        <x:v>0.18153689999962808</x:v>
      </x:c>
      <x:c r="K170" s="7" t="n">
        <x:f>IF(G170&gt;0,1,0)</x:f>
        <x:v>0</x:v>
      </x:c>
      <x:c r="L170" s="7" t="n">
        <x:f>IF(E170="",0,1/E170)</x:f>
        <x:v>0</x:v>
      </x:c>
      <x:c r="M170" s="7" t="n">
        <x:f>G170/F170</x:f>
        <x:v>0</x:v>
      </x:c>
      <x:c r="N170" s="7" t="n">
        <x:f>I170/H170</x:f>
        <x:v>0</x:v>
      </x:c>
      <x:c r="O170" s="7" t="n">
        <x:f>IF(I170=H170,1,0)</x:f>
        <x:v>0</x:v>
      </x:c>
    </x:row>
    <x:row r="171" ht="23" customHeight="1">
      <x:c r="A171" s="2" t="str">
        <x:v>R005</x:v>
      </x:c>
      <x:c r="B171" s="2" t="str">
        <x:v>rerank20</x:v>
      </x:c>
      <x:c r="C171" s="2" t="str">
        <x:v>reasoning</x:v>
      </x:c>
      <x:c r="D171" s="2" t="str">
        <x:v>en</x:v>
      </x:c>
      <x:c r="E171" s="2" t="n">
        <x:v>3</x:v>
      </x:c>
      <x:c r="F171" s="2" t="n">
        <x:v>2</x:v>
      </x:c>
      <x:c r="G171" s="2" t="n">
        <x:v>1</x:v>
      </x:c>
      <x:c r="H171" s="2" t="n">
        <x:v>1</x:v>
      </x:c>
      <x:c r="I171" s="2" t="n">
        <x:v>1</x:v>
      </x:c>
      <x:c r="J171" s="7" t="n">
        <x:v>6.601118500002485</x:v>
      </x:c>
      <x:c r="K171" s="7" t="n">
        <x:f>IF(G171&gt;0,1,0)</x:f>
        <x:v>1</x:v>
      </x:c>
      <x:c r="L171" s="7" t="n">
        <x:f>IF(E171="",0,1/E171)</x:f>
        <x:v>0.3333333333333333</x:v>
      </x:c>
      <x:c r="M171" s="7" t="n">
        <x:f>G171/F171</x:f>
        <x:v>0.5</x:v>
      </x:c>
      <x:c r="N171" s="7" t="n">
        <x:f>I171/H171</x:f>
        <x:v>1</x:v>
      </x:c>
      <x:c r="O171" s="7" t="n">
        <x:f>IF(I171=H171,1,0)</x:f>
        <x:v>1</x:v>
      </x:c>
    </x:row>
    <x:row r="172" ht="23" customHeight="1">
      <x:c r="A172" s="2" t="str">
        <x:v>F006</x:v>
      </x:c>
      <x:c r="B172" s="2" t="str">
        <x:v>rerank40</x:v>
      </x:c>
      <x:c r="C172" s="2" t="str">
        <x:v>fact</x:v>
      </x:c>
      <x:c r="D172" s="2" t="str">
        <x:v>en</x:v>
      </x:c>
      <x:c r="E172" s="2" t="n">
        <x:v>1</x:v>
      </x:c>
      <x:c r="F172" s="2" t="n">
        <x:v>1</x:v>
      </x:c>
      <x:c r="G172" s="2" t="n">
        <x:v>1</x:v>
      </x:c>
      <x:c r="H172" s="2" t="n">
        <x:v>1</x:v>
      </x:c>
      <x:c r="I172" s="2" t="n">
        <x:v>1</x:v>
      </x:c>
      <x:c r="J172" s="7" t="n">
        <x:v>11.639764299998205</x:v>
      </x:c>
      <x:c r="K172" s="7" t="n">
        <x:f>IF(G172&gt;0,1,0)</x:f>
        <x:v>1</x:v>
      </x:c>
      <x:c r="L172" s="7" t="n">
        <x:f>IF(E172="",0,1/E172)</x:f>
        <x:v>1</x:v>
      </x:c>
      <x:c r="M172" s="7" t="n">
        <x:f>G172/F172</x:f>
        <x:v>1</x:v>
      </x:c>
      <x:c r="N172" s="7" t="n">
        <x:f>I172/H172</x:f>
        <x:v>1</x:v>
      </x:c>
      <x:c r="O172" s="7" t="n">
        <x:f>IF(I172=H172,1,0)</x:f>
        <x:v>1</x:v>
      </x:c>
    </x:row>
    <x:row r="173" ht="23" customHeight="1">
      <x:c r="A173" s="2" t="str">
        <x:v>F006</x:v>
      </x:c>
      <x:c r="B173" s="2" t="str">
        <x:v>vector</x:v>
      </x:c>
      <x:c r="C173" s="2" t="str">
        <x:v>fact</x:v>
      </x:c>
      <x:c r="D173" s="2" t="str">
        <x:v>en</x:v>
      </x:c>
      <x:c r="E173" s="2" t="n">
        <x:v>1</x:v>
      </x:c>
      <x:c r="F173" s="2" t="n">
        <x:v>1</x:v>
      </x:c>
      <x:c r="G173" s="2" t="n">
        <x:v>1</x:v>
      </x:c>
      <x:c r="H173" s="2" t="n">
        <x:v>1</x:v>
      </x:c>
      <x:c r="I173" s="2" t="n">
        <x:v>1</x:v>
      </x:c>
      <x:c r="J173" s="7" t="n">
        <x:v>0.08373080000092159</x:v>
      </x:c>
      <x:c r="K173" s="7" t="n">
        <x:f>IF(G173&gt;0,1,0)</x:f>
        <x:v>1</x:v>
      </x:c>
      <x:c r="L173" s="7" t="n">
        <x:f>IF(E173="",0,1/E173)</x:f>
        <x:v>1</x:v>
      </x:c>
      <x:c r="M173" s="7" t="n">
        <x:f>G173/F173</x:f>
        <x:v>1</x:v>
      </x:c>
      <x:c r="N173" s="7" t="n">
        <x:f>I173/H173</x:f>
        <x:v>1</x:v>
      </x:c>
      <x:c r="O173" s="7" t="n">
        <x:f>IF(I173=H173,1,0)</x:f>
        <x:v>1</x:v>
      </x:c>
    </x:row>
    <x:row r="174" ht="23" customHeight="1">
      <x:c r="A174" s="2" t="str">
        <x:v>F006</x:v>
      </x:c>
      <x:c r="B174" s="2" t="str">
        <x:v>hybrid</x:v>
      </x:c>
      <x:c r="C174" s="2" t="str">
        <x:v>fact</x:v>
      </x:c>
      <x:c r="D174" s="2" t="str">
        <x:v>en</x:v>
      </x:c>
      <x:c r="E174" s="2" t="n">
        <x:v>1</x:v>
      </x:c>
      <x:c r="F174" s="2" t="n">
        <x:v>1</x:v>
      </x:c>
      <x:c r="G174" s="2" t="n">
        <x:v>1</x:v>
      </x:c>
      <x:c r="H174" s="2" t="n">
        <x:v>1</x:v>
      </x:c>
      <x:c r="I174" s="2" t="n">
        <x:v>1</x:v>
      </x:c>
      <x:c r="J174" s="7" t="n">
        <x:v>0.15271260000008624</x:v>
      </x:c>
      <x:c r="K174" s="7" t="n">
        <x:f>IF(G174&gt;0,1,0)</x:f>
        <x:v>1</x:v>
      </x:c>
      <x:c r="L174" s="7" t="n">
        <x:f>IF(E174="",0,1/E174)</x:f>
        <x:v>1</x:v>
      </x:c>
      <x:c r="M174" s="7" t="n">
        <x:f>G174/F174</x:f>
        <x:v>1</x:v>
      </x:c>
      <x:c r="N174" s="7" t="n">
        <x:f>I174/H174</x:f>
        <x:v>1</x:v>
      </x:c>
      <x:c r="O174" s="7" t="n">
        <x:f>IF(I174=H174,1,0)</x:f>
        <x:v>1</x:v>
      </x:c>
    </x:row>
    <x:row r="175" ht="23" customHeight="1">
      <x:c r="A175" s="2" t="str">
        <x:v>F006</x:v>
      </x:c>
      <x:c r="B175" s="2" t="str">
        <x:v>rerank20</x:v>
      </x:c>
      <x:c r="C175" s="2" t="str">
        <x:v>fact</x:v>
      </x:c>
      <x:c r="D175" s="2" t="str">
        <x:v>en</x:v>
      </x:c>
      <x:c r="E175" s="2" t="n">
        <x:v>1</x:v>
      </x:c>
      <x:c r="F175" s="2" t="n">
        <x:v>1</x:v>
      </x:c>
      <x:c r="G175" s="2" t="n">
        <x:v>1</x:v>
      </x:c>
      <x:c r="H175" s="2" t="n">
        <x:v>1</x:v>
      </x:c>
      <x:c r="I175" s="2" t="n">
        <x:v>1</x:v>
      </x:c>
      <x:c r="J175" s="7" t="n">
        <x:v>4.839781499998935</x:v>
      </x:c>
      <x:c r="K175" s="7" t="n">
        <x:f>IF(G175&gt;0,1,0)</x:f>
        <x:v>1</x:v>
      </x:c>
      <x:c r="L175" s="7" t="n">
        <x:f>IF(E175="",0,1/E175)</x:f>
        <x:v>1</x:v>
      </x:c>
      <x:c r="M175" s="7" t="n">
        <x:f>G175/F175</x:f>
        <x:v>1</x:v>
      </x:c>
      <x:c r="N175" s="7" t="n">
        <x:f>I175/H175</x:f>
        <x:v>1</x:v>
      </x:c>
      <x:c r="O175" s="7" t="n">
        <x:f>IF(I175=H175,1,0)</x:f>
        <x:v>1</x:v>
      </x:c>
    </x:row>
    <x:row r="176" ht="23" customHeight="1">
      <x:c r="A176" s="2" t="str">
        <x:v>F006</x:v>
      </x:c>
      <x:c r="B176" s="2" t="str">
        <x:v>rerank10</x:v>
      </x:c>
      <x:c r="C176" s="2" t="str">
        <x:v>fact</x:v>
      </x:c>
      <x:c r="D176" s="2" t="str">
        <x:v>en</x:v>
      </x:c>
      <x:c r="E176" s="2" t="n">
        <x:v>1</x:v>
      </x:c>
      <x:c r="F176" s="2" t="n">
        <x:v>1</x:v>
      </x:c>
      <x:c r="G176" s="2" t="n">
        <x:v>1</x:v>
      </x:c>
      <x:c r="H176" s="2" t="n">
        <x:v>1</x:v>
      </x:c>
      <x:c r="I176" s="2" t="n">
        <x:v>1</x:v>
      </x:c>
      <x:c r="J176" s="7" t="n">
        <x:v>2.74901619999946</x:v>
      </x:c>
      <x:c r="K176" s="7" t="n">
        <x:f>IF(G176&gt;0,1,0)</x:f>
        <x:v>1</x:v>
      </x:c>
      <x:c r="L176" s="7" t="n">
        <x:f>IF(E176="",0,1/E176)</x:f>
        <x:v>1</x:v>
      </x:c>
      <x:c r="M176" s="7" t="n">
        <x:f>G176/F176</x:f>
        <x:v>1</x:v>
      </x:c>
      <x:c r="N176" s="7" t="n">
        <x:f>I176/H176</x:f>
        <x:v>1</x:v>
      </x:c>
      <x:c r="O176" s="7" t="n">
        <x:f>IF(I176=H176,1,0)</x:f>
        <x:v>1</x:v>
      </x:c>
    </x:row>
    <x:row r="177" ht="23" customHeight="1">
      <x:c r="A177" s="2" t="str">
        <x:v>C002</x:v>
      </x:c>
      <x:c r="B177" s="2" t="str">
        <x:v>vector</x:v>
      </x:c>
      <x:c r="C177" s="2" t="str">
        <x:v>comparison</x:v>
      </x:c>
      <x:c r="D177" s="2" t="str">
        <x:v>zh</x:v>
      </x:c>
      <x:c r="E177" s="2" t="n">
        <x:v>1</x:v>
      </x:c>
      <x:c r="F177" s="2" t="n">
        <x:v>2</x:v>
      </x:c>
      <x:c r="G177" s="2" t="n">
        <x:v>1</x:v>
      </x:c>
      <x:c r="H177" s="2" t="n">
        <x:v>2</x:v>
      </x:c>
      <x:c r="I177" s="2" t="n">
        <x:v>1</x:v>
      </x:c>
      <x:c r="J177" s="7" t="n">
        <x:v>0.07963609999933396</x:v>
      </x:c>
      <x:c r="K177" s="7" t="n">
        <x:f>IF(G177&gt;0,1,0)</x:f>
        <x:v>1</x:v>
      </x:c>
      <x:c r="L177" s="7" t="n">
        <x:f>IF(E177="",0,1/E177)</x:f>
        <x:v>1</x:v>
      </x:c>
      <x:c r="M177" s="7" t="n">
        <x:f>G177/F177</x:f>
        <x:v>0.5</x:v>
      </x:c>
      <x:c r="N177" s="7" t="n">
        <x:f>I177/H177</x:f>
        <x:v>0.5</x:v>
      </x:c>
      <x:c r="O177" s="7" t="n">
        <x:f>IF(I177=H177,1,0)</x:f>
        <x:v>0</x:v>
      </x:c>
    </x:row>
    <x:row r="178" ht="23" customHeight="1">
      <x:c r="A178" s="2" t="str">
        <x:v>C002</x:v>
      </x:c>
      <x:c r="B178" s="2" t="str">
        <x:v>hybrid</x:v>
      </x:c>
      <x:c r="C178" s="2" t="str">
        <x:v>comparison</x:v>
      </x:c>
      <x:c r="D178" s="2" t="str">
        <x:v>zh</x:v>
      </x:c>
      <x:c r="E178" s="2" t="n">
        <x:v>2</x:v>
      </x:c>
      <x:c r="F178" s="2" t="n">
        <x:v>2</x:v>
      </x:c>
      <x:c r="G178" s="2" t="n">
        <x:v>1</x:v>
      </x:c>
      <x:c r="H178" s="2" t="n">
        <x:v>2</x:v>
      </x:c>
      <x:c r="I178" s="2" t="n">
        <x:v>1</x:v>
      </x:c>
      <x:c r="J178" s="7" t="n">
        <x:v>0.15101489999869955</x:v>
      </x:c>
      <x:c r="K178" s="7" t="n">
        <x:f>IF(G178&gt;0,1,0)</x:f>
        <x:v>1</x:v>
      </x:c>
      <x:c r="L178" s="7" t="n">
        <x:f>IF(E178="",0,1/E178)</x:f>
        <x:v>0.5</x:v>
      </x:c>
      <x:c r="M178" s="7" t="n">
        <x:f>G178/F178</x:f>
        <x:v>0.5</x:v>
      </x:c>
      <x:c r="N178" s="7" t="n">
        <x:f>I178/H178</x:f>
        <x:v>0.5</x:v>
      </x:c>
      <x:c r="O178" s="7" t="n">
        <x:f>IF(I178=H178,1,0)</x:f>
        <x:v>0</x:v>
      </x:c>
    </x:row>
    <x:row r="179" ht="23" customHeight="1">
      <x:c r="A179" s="2" t="str">
        <x:v>C002</x:v>
      </x:c>
      <x:c r="B179" s="2" t="str">
        <x:v>rerank20</x:v>
      </x:c>
      <x:c r="C179" s="2" t="str">
        <x:v>comparison</x:v>
      </x:c>
      <x:c r="D179" s="2" t="str">
        <x:v>zh</x:v>
      </x:c>
      <x:c r="E179" s="2" t="n">
        <x:v>3</x:v>
      </x:c>
      <x:c r="F179" s="2" t="n">
        <x:v>2</x:v>
      </x:c>
      <x:c r="G179" s="2" t="n">
        <x:v>1</x:v>
      </x:c>
      <x:c r="H179" s="2" t="n">
        <x:v>2</x:v>
      </x:c>
      <x:c r="I179" s="2" t="n">
        <x:v>1</x:v>
      </x:c>
      <x:c r="J179" s="7" t="n">
        <x:v>8.071637400000327</x:v>
      </x:c>
      <x:c r="K179" s="7" t="n">
        <x:f>IF(G179&gt;0,1,0)</x:f>
        <x:v>1</x:v>
      </x:c>
      <x:c r="L179" s="7" t="n">
        <x:f>IF(E179="",0,1/E179)</x:f>
        <x:v>0.3333333333333333</x:v>
      </x:c>
      <x:c r="M179" s="7" t="n">
        <x:f>G179/F179</x:f>
        <x:v>0.5</x:v>
      </x:c>
      <x:c r="N179" s="7" t="n">
        <x:f>I179/H179</x:f>
        <x:v>0.5</x:v>
      </x:c>
      <x:c r="O179" s="7" t="n">
        <x:f>IF(I179=H179,1,0)</x:f>
        <x:v>0</x:v>
      </x:c>
    </x:row>
    <x:row r="180" ht="23" customHeight="1">
      <x:c r="A180" s="2" t="str">
        <x:v>C002</x:v>
      </x:c>
      <x:c r="B180" s="2" t="str">
        <x:v>rerank10</x:v>
      </x:c>
      <x:c r="C180" s="2" t="str">
        <x:v>comparison</x:v>
      </x:c>
      <x:c r="D180" s="2" t="str">
        <x:v>zh</x:v>
      </x:c>
      <x:c r="E180" s="2" t="n">
        <x:v>3</x:v>
      </x:c>
      <x:c r="F180" s="2" t="n">
        <x:v>2</x:v>
      </x:c>
      <x:c r="G180" s="2" t="n">
        <x:v>1</x:v>
      </x:c>
      <x:c r="H180" s="2" t="n">
        <x:v>2</x:v>
      </x:c>
      <x:c r="I180" s="2" t="n">
        <x:v>1</x:v>
      </x:c>
      <x:c r="J180" s="7" t="n">
        <x:v>4.0306551000030595</x:v>
      </x:c>
      <x:c r="K180" s="7" t="n">
        <x:f>IF(G180&gt;0,1,0)</x:f>
        <x:v>1</x:v>
      </x:c>
      <x:c r="L180" s="7" t="n">
        <x:f>IF(E180="",0,1/E180)</x:f>
        <x:v>0.3333333333333333</x:v>
      </x:c>
      <x:c r="M180" s="7" t="n">
        <x:f>G180/F180</x:f>
        <x:v>0.5</x:v>
      </x:c>
      <x:c r="N180" s="7" t="n">
        <x:f>I180/H180</x:f>
        <x:v>0.5</x:v>
      </x:c>
      <x:c r="O180" s="7" t="n">
        <x:f>IF(I180=H180,1,0)</x:f>
        <x:v>0</x:v>
      </x:c>
    </x:row>
    <x:row r="181" ht="23" customHeight="1">
      <x:c r="A181" s="2" t="str">
        <x:v>C002</x:v>
      </x:c>
      <x:c r="B181" s="2" t="str">
        <x:v>rerank40</x:v>
      </x:c>
      <x:c r="C181" s="2" t="str">
        <x:v>comparison</x:v>
      </x:c>
      <x:c r="D181" s="2" t="str">
        <x:v>zh</x:v>
      </x:c>
      <x:c r="E181" s="2" t="n">
        <x:v>4</x:v>
      </x:c>
      <x:c r="F181" s="2" t="n">
        <x:v>2</x:v>
      </x:c>
      <x:c r="G181" s="2" t="n">
        <x:v>1</x:v>
      </x:c>
      <x:c r="H181" s="2" t="n">
        <x:v>2</x:v>
      </x:c>
      <x:c r="I181" s="2" t="n">
        <x:v>1</x:v>
      </x:c>
      <x:c r="J181" s="7" t="n">
        <x:v>16.785031499999604</x:v>
      </x:c>
      <x:c r="K181" s="7" t="n">
        <x:f>IF(G181&gt;0,1,0)</x:f>
        <x:v>1</x:v>
      </x:c>
      <x:c r="L181" s="7" t="n">
        <x:f>IF(E181="",0,1/E181)</x:f>
        <x:v>0.25</x:v>
      </x:c>
      <x:c r="M181" s="7" t="n">
        <x:f>G181/F181</x:f>
        <x:v>0.5</x:v>
      </x:c>
      <x:c r="N181" s="7" t="n">
        <x:f>I181/H181</x:f>
        <x:v>0.5</x:v>
      </x:c>
      <x:c r="O181" s="7" t="n">
        <x:f>IF(I181=H181,1,0)</x:f>
        <x:v>0</x:v>
      </x:c>
    </x:row>
    <x:row r="182" ht="23" customHeight="1">
      <x:c r="A182" s="2" t="str">
        <x:v>C008</x:v>
      </x:c>
      <x:c r="B182" s="2" t="str">
        <x:v>hybrid</x:v>
      </x:c>
      <x:c r="C182" s="2" t="str">
        <x:v>comparison</x:v>
      </x:c>
      <x:c r="D182" s="2" t="str">
        <x:v>zh</x:v>
      </x:c>
      <x:c r="E182" s="2" t="n">
        <x:v>5</x:v>
      </x:c>
      <x:c r="F182" s="2" t="n">
        <x:v>3</x:v>
      </x:c>
      <x:c r="G182" s="2" t="n">
        <x:v>1</x:v>
      </x:c>
      <x:c r="H182" s="2" t="n">
        <x:v>2</x:v>
      </x:c>
      <x:c r="I182" s="2" t="n">
        <x:v>1</x:v>
      </x:c>
      <x:c r="J182" s="7" t="n">
        <x:v>0.3284285000008822</x:v>
      </x:c>
      <x:c r="K182" s="7" t="n">
        <x:f>IF(G182&gt;0,1,0)</x:f>
        <x:v>1</x:v>
      </x:c>
      <x:c r="L182" s="7" t="n">
        <x:f>IF(E182="",0,1/E182)</x:f>
        <x:v>0.2</x:v>
      </x:c>
      <x:c r="M182" s="7" t="n">
        <x:f>G182/F182</x:f>
        <x:v>0.3333333333333333</x:v>
      </x:c>
      <x:c r="N182" s="7" t="n">
        <x:f>I182/H182</x:f>
        <x:v>0.5</x:v>
      </x:c>
      <x:c r="O182" s="7" t="n">
        <x:f>IF(I182=H182,1,0)</x:f>
        <x:v>0</x:v>
      </x:c>
    </x:row>
    <x:row r="183" ht="23" customHeight="1">
      <x:c r="A183" s="2" t="str">
        <x:v>C008</x:v>
      </x:c>
      <x:c r="B183" s="2" t="str">
        <x:v>rerank20</x:v>
      </x:c>
      <x:c r="C183" s="2" t="str">
        <x:v>comparison</x:v>
      </x:c>
      <x:c r="D183" s="2" t="str">
        <x:v>zh</x:v>
      </x:c>
      <x:c r="E183" s="2" t="n">
        <x:v>1</x:v>
      </x:c>
      <x:c r="F183" s="2" t="n">
        <x:v>3</x:v>
      </x:c>
      <x:c r="G183" s="2" t="n">
        <x:v>1</x:v>
      </x:c>
      <x:c r="H183" s="2" t="n">
        <x:v>2</x:v>
      </x:c>
      <x:c r="I183" s="2" t="n">
        <x:v>1</x:v>
      </x:c>
      <x:c r="J183" s="7" t="n">
        <x:v>6.433555100000376</x:v>
      </x:c>
      <x:c r="K183" s="7" t="n">
        <x:f>IF(G183&gt;0,1,0)</x:f>
        <x:v>1</x:v>
      </x:c>
      <x:c r="L183" s="7" t="n">
        <x:f>IF(E183="",0,1/E183)</x:f>
        <x:v>1</x:v>
      </x:c>
      <x:c r="M183" s="7" t="n">
        <x:f>G183/F183</x:f>
        <x:v>0.3333333333333333</x:v>
      </x:c>
      <x:c r="N183" s="7" t="n">
        <x:f>I183/H183</x:f>
        <x:v>0.5</x:v>
      </x:c>
      <x:c r="O183" s="7" t="n">
        <x:f>IF(I183=H183,1,0)</x:f>
        <x:v>0</x:v>
      </x:c>
    </x:row>
    <x:row r="184" ht="23" customHeight="1">
      <x:c r="A184" s="2" t="str">
        <x:v>C008</x:v>
      </x:c>
      <x:c r="B184" s="2" t="str">
        <x:v>rerank10</x:v>
      </x:c>
      <x:c r="C184" s="2" t="str">
        <x:v>comparison</x:v>
      </x:c>
      <x:c r="D184" s="2" t="str">
        <x:v>zh</x:v>
      </x:c>
      <x:c r="E184" s="2"/>
      <x:c r="F184" s="2" t="n">
        <x:v>3</x:v>
      </x:c>
      <x:c r="G184" s="2" t="n">
        <x:v>0</x:v>
      </x:c>
      <x:c r="H184" s="2" t="n">
        <x:v>2</x:v>
      </x:c>
      <x:c r="I184" s="2" t="n">
        <x:v>0</x:v>
      </x:c>
      <x:c r="J184" s="7" t="n">
        <x:v>3.5547998000001826</x:v>
      </x:c>
      <x:c r="K184" s="7" t="n">
        <x:f>IF(G184&gt;0,1,0)</x:f>
        <x:v>0</x:v>
      </x:c>
      <x:c r="L184" s="7" t="n">
        <x:f>IF(E184="",0,1/E184)</x:f>
        <x:v>0</x:v>
      </x:c>
      <x:c r="M184" s="7" t="n">
        <x:f>G184/F184</x:f>
        <x:v>0</x:v>
      </x:c>
      <x:c r="N184" s="7" t="n">
        <x:f>I184/H184</x:f>
        <x:v>0</x:v>
      </x:c>
      <x:c r="O184" s="7" t="n">
        <x:f>IF(I184=H184,1,0)</x:f>
        <x:v>0</x:v>
      </x:c>
    </x:row>
    <x:row r="185" ht="23" customHeight="1">
      <x:c r="A185" s="2" t="str">
        <x:v>C008</x:v>
      </x:c>
      <x:c r="B185" s="2" t="str">
        <x:v>rerank40</x:v>
      </x:c>
      <x:c r="C185" s="2" t="str">
        <x:v>comparison</x:v>
      </x:c>
      <x:c r="D185" s="2" t="str">
        <x:v>zh</x:v>
      </x:c>
      <x:c r="E185" s="2" t="n">
        <x:v>1</x:v>
      </x:c>
      <x:c r="F185" s="2" t="n">
        <x:v>3</x:v>
      </x:c>
      <x:c r="G185" s="2" t="n">
        <x:v>1</x:v>
      </x:c>
      <x:c r="H185" s="2" t="n">
        <x:v>2</x:v>
      </x:c>
      <x:c r="I185" s="2" t="n">
        <x:v>1</x:v>
      </x:c>
      <x:c r="J185" s="7" t="n">
        <x:v>16.624928199998976</x:v>
      </x:c>
      <x:c r="K185" s="7" t="n">
        <x:f>IF(G185&gt;0,1,0)</x:f>
        <x:v>1</x:v>
      </x:c>
      <x:c r="L185" s="7" t="n">
        <x:f>IF(E185="",0,1/E185)</x:f>
        <x:v>1</x:v>
      </x:c>
      <x:c r="M185" s="7" t="n">
        <x:f>G185/F185</x:f>
        <x:v>0.3333333333333333</x:v>
      </x:c>
      <x:c r="N185" s="7" t="n">
        <x:f>I185/H185</x:f>
        <x:v>0.5</x:v>
      </x:c>
      <x:c r="O185" s="7" t="n">
        <x:f>IF(I185=H185,1,0)</x:f>
        <x:v>0</x:v>
      </x:c>
    </x:row>
    <x:row r="186" ht="23" customHeight="1">
      <x:c r="A186" s="2" t="str">
        <x:v>C008</x:v>
      </x:c>
      <x:c r="B186" s="2" t="str">
        <x:v>vector</x:v>
      </x:c>
      <x:c r="C186" s="2" t="str">
        <x:v>comparison</x:v>
      </x:c>
      <x:c r="D186" s="2" t="str">
        <x:v>zh</x:v>
      </x:c>
      <x:c r="E186" s="2"/>
      <x:c r="F186" s="2" t="n">
        <x:v>3</x:v>
      </x:c>
      <x:c r="G186" s="2" t="n">
        <x:v>0</x:v>
      </x:c>
      <x:c r="H186" s="2" t="n">
        <x:v>2</x:v>
      </x:c>
      <x:c r="I186" s="2" t="n">
        <x:v>0</x:v>
      </x:c>
      <x:c r="J186" s="7" t="n">
        <x:v>0.08917440000004717</x:v>
      </x:c>
      <x:c r="K186" s="7" t="n">
        <x:f>IF(G186&gt;0,1,0)</x:f>
        <x:v>0</x:v>
      </x:c>
      <x:c r="L186" s="7" t="n">
        <x:f>IF(E186="",0,1/E186)</x:f>
        <x:v>0</x:v>
      </x:c>
      <x:c r="M186" s="7" t="n">
        <x:f>G186/F186</x:f>
        <x:v>0</x:v>
      </x:c>
      <x:c r="N186" s="7" t="n">
        <x:f>I186/H186</x:f>
        <x:v>0</x:v>
      </x:c>
      <x:c r="O186" s="7" t="n">
        <x:f>IF(I186=H186,1,0)</x:f>
        <x:v>0</x:v>
      </x:c>
    </x:row>
    <x:row r="187" ht="23" customHeight="1">
      <x:c r="A187" s="2" t="str">
        <x:v>C013</x:v>
      </x:c>
      <x:c r="B187" s="2" t="str">
        <x:v>rerank20</x:v>
      </x:c>
      <x:c r="C187" s="2" t="str">
        <x:v>comparison</x:v>
      </x:c>
      <x:c r="D187" s="2" t="str">
        <x:v>en</x:v>
      </x:c>
      <x:c r="E187" s="2"/>
      <x:c r="F187" s="2" t="n">
        <x:v>2</x:v>
      </x:c>
      <x:c r="G187" s="2" t="n">
        <x:v>0</x:v>
      </x:c>
      <x:c r="H187" s="2" t="n">
        <x:v>2</x:v>
      </x:c>
      <x:c r="I187" s="2" t="n">
        <x:v>0</x:v>
      </x:c>
      <x:c r="J187" s="7" t="n">
        <x:v>5.380811999999423</x:v>
      </x:c>
      <x:c r="K187" s="7" t="n">
        <x:f>IF(G187&gt;0,1,0)</x:f>
        <x:v>0</x:v>
      </x:c>
      <x:c r="L187" s="7" t="n">
        <x:f>IF(E187="",0,1/E187)</x:f>
        <x:v>0</x:v>
      </x:c>
      <x:c r="M187" s="7" t="n">
        <x:f>G187/F187</x:f>
        <x:v>0</x:v>
      </x:c>
      <x:c r="N187" s="7" t="n">
        <x:f>I187/H187</x:f>
        <x:v>0</x:v>
      </x:c>
      <x:c r="O187" s="7" t="n">
        <x:f>IF(I187=H187,1,0)</x:f>
        <x:v>0</x:v>
      </x:c>
    </x:row>
    <x:row r="188" ht="23" customHeight="1">
      <x:c r="A188" s="2" t="str">
        <x:v>C013</x:v>
      </x:c>
      <x:c r="B188" s="2" t="str">
        <x:v>rerank10</x:v>
      </x:c>
      <x:c r="C188" s="2" t="str">
        <x:v>comparison</x:v>
      </x:c>
      <x:c r="D188" s="2" t="str">
        <x:v>en</x:v>
      </x:c>
      <x:c r="E188" s="2"/>
      <x:c r="F188" s="2" t="n">
        <x:v>2</x:v>
      </x:c>
      <x:c r="G188" s="2" t="n">
        <x:v>0</x:v>
      </x:c>
      <x:c r="H188" s="2" t="n">
        <x:v>2</x:v>
      </x:c>
      <x:c r="I188" s="2" t="n">
        <x:v>0</x:v>
      </x:c>
      <x:c r="J188" s="7" t="n">
        <x:v>2.2745126000008895</x:v>
      </x:c>
      <x:c r="K188" s="7" t="n">
        <x:f>IF(G188&gt;0,1,0)</x:f>
        <x:v>0</x:v>
      </x:c>
      <x:c r="L188" s="7" t="n">
        <x:f>IF(E188="",0,1/E188)</x:f>
        <x:v>0</x:v>
      </x:c>
      <x:c r="M188" s="7" t="n">
        <x:f>G188/F188</x:f>
        <x:v>0</x:v>
      </x:c>
      <x:c r="N188" s="7" t="n">
        <x:f>I188/H188</x:f>
        <x:v>0</x:v>
      </x:c>
      <x:c r="O188" s="7" t="n">
        <x:f>IF(I188=H188,1,0)</x:f>
        <x:v>0</x:v>
      </x:c>
    </x:row>
    <x:row r="189" ht="23" customHeight="1">
      <x:c r="A189" s="2" t="str">
        <x:v>C013</x:v>
      </x:c>
      <x:c r="B189" s="2" t="str">
        <x:v>rerank40</x:v>
      </x:c>
      <x:c r="C189" s="2" t="str">
        <x:v>comparison</x:v>
      </x:c>
      <x:c r="D189" s="2" t="str">
        <x:v>en</x:v>
      </x:c>
      <x:c r="E189" s="2"/>
      <x:c r="F189" s="2" t="n">
        <x:v>2</x:v>
      </x:c>
      <x:c r="G189" s="2" t="n">
        <x:v>0</x:v>
      </x:c>
      <x:c r="H189" s="2" t="n">
        <x:v>2</x:v>
      </x:c>
      <x:c r="I189" s="2" t="n">
        <x:v>0</x:v>
      </x:c>
      <x:c r="J189" s="7" t="n">
        <x:v>10.086608899997373</x:v>
      </x:c>
      <x:c r="K189" s="7" t="n">
        <x:f>IF(G189&gt;0,1,0)</x:f>
        <x:v>0</x:v>
      </x:c>
      <x:c r="L189" s="7" t="n">
        <x:f>IF(E189="",0,1/E189)</x:f>
        <x:v>0</x:v>
      </x:c>
      <x:c r="M189" s="7" t="n">
        <x:f>G189/F189</x:f>
        <x:v>0</x:v>
      </x:c>
      <x:c r="N189" s="7" t="n">
        <x:f>I189/H189</x:f>
        <x:v>0</x:v>
      </x:c>
      <x:c r="O189" s="7" t="n">
        <x:f>IF(I189=H189,1,0)</x:f>
        <x:v>0</x:v>
      </x:c>
    </x:row>
    <x:row r="190" ht="23" customHeight="1">
      <x:c r="A190" s="2" t="str">
        <x:v>C013</x:v>
      </x:c>
      <x:c r="B190" s="2" t="str">
        <x:v>vector</x:v>
      </x:c>
      <x:c r="C190" s="2" t="str">
        <x:v>comparison</x:v>
      </x:c>
      <x:c r="D190" s="2" t="str">
        <x:v>en</x:v>
      </x:c>
      <x:c r="E190" s="2"/>
      <x:c r="F190" s="2" t="n">
        <x:v>2</x:v>
      </x:c>
      <x:c r="G190" s="2" t="n">
        <x:v>0</x:v>
      </x:c>
      <x:c r="H190" s="2" t="n">
        <x:v>2</x:v>
      </x:c>
      <x:c r="I190" s="2" t="n">
        <x:v>0</x:v>
      </x:c>
      <x:c r="J190" s="7" t="n">
        <x:v>0.08435569999710424</x:v>
      </x:c>
      <x:c r="K190" s="7" t="n">
        <x:f>IF(G190&gt;0,1,0)</x:f>
        <x:v>0</x:v>
      </x:c>
      <x:c r="L190" s="7" t="n">
        <x:f>IF(E190="",0,1/E190)</x:f>
        <x:v>0</x:v>
      </x:c>
      <x:c r="M190" s="7" t="n">
        <x:f>G190/F190</x:f>
        <x:v>0</x:v>
      </x:c>
      <x:c r="N190" s="7" t="n">
        <x:f>I190/H190</x:f>
        <x:v>0</x:v>
      </x:c>
      <x:c r="O190" s="7" t="n">
        <x:f>IF(I190=H190,1,0)</x:f>
        <x:v>0</x:v>
      </x:c>
    </x:row>
    <x:row r="191" ht="23" customHeight="1">
      <x:c r="A191" s="2" t="str">
        <x:v>C013</x:v>
      </x:c>
      <x:c r="B191" s="2" t="str">
        <x:v>hybrid</x:v>
      </x:c>
      <x:c r="C191" s="2" t="str">
        <x:v>comparison</x:v>
      </x:c>
      <x:c r="D191" s="2" t="str">
        <x:v>en</x:v>
      </x:c>
      <x:c r="E191" s="2"/>
      <x:c r="F191" s="2" t="n">
        <x:v>2</x:v>
      </x:c>
      <x:c r="G191" s="2" t="n">
        <x:v>0</x:v>
      </x:c>
      <x:c r="H191" s="2" t="n">
        <x:v>2</x:v>
      </x:c>
      <x:c r="I191" s="2" t="n">
        <x:v>0</x:v>
      </x:c>
      <x:c r="J191" s="7" t="n">
        <x:v>0.15105150000090362</x:v>
      </x:c>
      <x:c r="K191" s="7" t="n">
        <x:f>IF(G191&gt;0,1,0)</x:f>
        <x:v>0</x:v>
      </x:c>
      <x:c r="L191" s="7" t="n">
        <x:f>IF(E191="",0,1/E191)</x:f>
        <x:v>0</x:v>
      </x:c>
      <x:c r="M191" s="7" t="n">
        <x:f>G191/F191</x:f>
        <x:v>0</x:v>
      </x:c>
      <x:c r="N191" s="7" t="n">
        <x:f>I191/H191</x:f>
        <x:v>0</x:v>
      </x:c>
      <x:c r="O191" s="7" t="n">
        <x:f>IF(I191=H191,1,0)</x:f>
        <x:v>0</x:v>
      </x:c>
    </x:row>
    <x:row r="192" ht="23" customHeight="1">
      <x:c r="A192" s="2" t="str">
        <x:v>C014</x:v>
      </x:c>
      <x:c r="B192" s="2" t="str">
        <x:v>rerank10</x:v>
      </x:c>
      <x:c r="C192" s="2" t="str">
        <x:v>comparison</x:v>
      </x:c>
      <x:c r="D192" s="2" t="str">
        <x:v>zh</x:v>
      </x:c>
      <x:c r="E192" s="2" t="n">
        <x:v>3</x:v>
      </x:c>
      <x:c r="F192" s="2" t="n">
        <x:v>3</x:v>
      </x:c>
      <x:c r="G192" s="2" t="n">
        <x:v>1</x:v>
      </x:c>
      <x:c r="H192" s="2" t="n">
        <x:v>2</x:v>
      </x:c>
      <x:c r="I192" s="2" t="n">
        <x:v>1</x:v>
      </x:c>
      <x:c r="J192" s="7" t="n">
        <x:v>2.8947469999984605</x:v>
      </x:c>
      <x:c r="K192" s="7" t="n">
        <x:f>IF(G192&gt;0,1,0)</x:f>
        <x:v>1</x:v>
      </x:c>
      <x:c r="L192" s="7" t="n">
        <x:f>IF(E192="",0,1/E192)</x:f>
        <x:v>0.3333333333333333</x:v>
      </x:c>
      <x:c r="M192" s="7" t="n">
        <x:f>G192/F192</x:f>
        <x:v>0.3333333333333333</x:v>
      </x:c>
      <x:c r="N192" s="7" t="n">
        <x:f>I192/H192</x:f>
        <x:v>0.5</x:v>
      </x:c>
      <x:c r="O192" s="7" t="n">
        <x:f>IF(I192=H192,1,0)</x:f>
        <x:v>0</x:v>
      </x:c>
    </x:row>
    <x:row r="193" ht="23" customHeight="1">
      <x:c r="A193" s="2" t="str">
        <x:v>C014</x:v>
      </x:c>
      <x:c r="B193" s="2" t="str">
        <x:v>rerank40</x:v>
      </x:c>
      <x:c r="C193" s="2" t="str">
        <x:v>comparison</x:v>
      </x:c>
      <x:c r="D193" s="2" t="str">
        <x:v>zh</x:v>
      </x:c>
      <x:c r="E193" s="2" t="n">
        <x:v>3</x:v>
      </x:c>
      <x:c r="F193" s="2" t="n">
        <x:v>3</x:v>
      </x:c>
      <x:c r="G193" s="2" t="n">
        <x:v>1</x:v>
      </x:c>
      <x:c r="H193" s="2" t="n">
        <x:v>2</x:v>
      </x:c>
      <x:c r="I193" s="2" t="n">
        <x:v>1</x:v>
      </x:c>
      <x:c r="J193" s="7" t="n">
        <x:v>13.361894300000131</x:v>
      </x:c>
      <x:c r="K193" s="7" t="n">
        <x:f>IF(G193&gt;0,1,0)</x:f>
        <x:v>1</x:v>
      </x:c>
      <x:c r="L193" s="7" t="n">
        <x:f>IF(E193="",0,1/E193)</x:f>
        <x:v>0.3333333333333333</x:v>
      </x:c>
      <x:c r="M193" s="7" t="n">
        <x:f>G193/F193</x:f>
        <x:v>0.3333333333333333</x:v>
      </x:c>
      <x:c r="N193" s="7" t="n">
        <x:f>I193/H193</x:f>
        <x:v>0.5</x:v>
      </x:c>
      <x:c r="O193" s="7" t="n">
        <x:f>IF(I193=H193,1,0)</x:f>
        <x:v>0</x:v>
      </x:c>
    </x:row>
    <x:row r="194" ht="23" customHeight="1">
      <x:c r="A194" s="2" t="str">
        <x:v>C014</x:v>
      </x:c>
      <x:c r="B194" s="2" t="str">
        <x:v>vector</x:v>
      </x:c>
      <x:c r="C194" s="2" t="str">
        <x:v>comparison</x:v>
      </x:c>
      <x:c r="D194" s="2" t="str">
        <x:v>zh</x:v>
      </x:c>
      <x:c r="E194" s="2" t="n">
        <x:v>2</x:v>
      </x:c>
      <x:c r="F194" s="2" t="n">
        <x:v>3</x:v>
      </x:c>
      <x:c r="G194" s="2" t="n">
        <x:v>1</x:v>
      </x:c>
      <x:c r="H194" s="2" t="n">
        <x:v>2</x:v>
      </x:c>
      <x:c r="I194" s="2" t="n">
        <x:v>1</x:v>
      </x:c>
      <x:c r="J194" s="7" t="n">
        <x:v>0.08988609999869368</x:v>
      </x:c>
      <x:c r="K194" s="7" t="n">
        <x:f>IF(G194&gt;0,1,0)</x:f>
        <x:v>1</x:v>
      </x:c>
      <x:c r="L194" s="7" t="n">
        <x:f>IF(E194="",0,1/E194)</x:f>
        <x:v>0.5</x:v>
      </x:c>
      <x:c r="M194" s="7" t="n">
        <x:f>G194/F194</x:f>
        <x:v>0.3333333333333333</x:v>
      </x:c>
      <x:c r="N194" s="7" t="n">
        <x:f>I194/H194</x:f>
        <x:v>0.5</x:v>
      </x:c>
      <x:c r="O194" s="7" t="n">
        <x:f>IF(I194=H194,1,0)</x:f>
        <x:v>0</x:v>
      </x:c>
    </x:row>
    <x:row r="195" ht="23" customHeight="1">
      <x:c r="A195" s="2" t="str">
        <x:v>C014</x:v>
      </x:c>
      <x:c r="B195" s="2" t="str">
        <x:v>hybrid</x:v>
      </x:c>
      <x:c r="C195" s="2" t="str">
        <x:v>comparison</x:v>
      </x:c>
      <x:c r="D195" s="2" t="str">
        <x:v>zh</x:v>
      </x:c>
      <x:c r="E195" s="2" t="n">
        <x:v>5</x:v>
      </x:c>
      <x:c r="F195" s="2" t="n">
        <x:v>3</x:v>
      </x:c>
      <x:c r="G195" s="2" t="n">
        <x:v>1</x:v>
      </x:c>
      <x:c r="H195" s="2" t="n">
        <x:v>2</x:v>
      </x:c>
      <x:c r="I195" s="2" t="n">
        <x:v>1</x:v>
      </x:c>
      <x:c r="J195" s="7" t="n">
        <x:v>0.16867249999995693</x:v>
      </x:c>
      <x:c r="K195" s="7" t="n">
        <x:f>IF(G195&gt;0,1,0)</x:f>
        <x:v>1</x:v>
      </x:c>
      <x:c r="L195" s="7" t="n">
        <x:f>IF(E195="",0,1/E195)</x:f>
        <x:v>0.2</x:v>
      </x:c>
      <x:c r="M195" s="7" t="n">
        <x:f>G195/F195</x:f>
        <x:v>0.3333333333333333</x:v>
      </x:c>
      <x:c r="N195" s="7" t="n">
        <x:f>I195/H195</x:f>
        <x:v>0.5</x:v>
      </x:c>
      <x:c r="O195" s="7" t="n">
        <x:f>IF(I195=H195,1,0)</x:f>
        <x:v>0</x:v>
      </x:c>
    </x:row>
    <x:row r="196" ht="23" customHeight="1">
      <x:c r="A196" s="2" t="str">
        <x:v>C014</x:v>
      </x:c>
      <x:c r="B196" s="2" t="str">
        <x:v>rerank20</x:v>
      </x:c>
      <x:c r="C196" s="2" t="str">
        <x:v>comparison</x:v>
      </x:c>
      <x:c r="D196" s="2" t="str">
        <x:v>zh</x:v>
      </x:c>
      <x:c r="E196" s="2" t="n">
        <x:v>3</x:v>
      </x:c>
      <x:c r="F196" s="2" t="n">
        <x:v>3</x:v>
      </x:c>
      <x:c r="G196" s="2" t="n">
        <x:v>1</x:v>
      </x:c>
      <x:c r="H196" s="2" t="n">
        <x:v>2</x:v>
      </x:c>
      <x:c r="I196" s="2" t="n">
        <x:v>1</x:v>
      </x:c>
      <x:c r="J196" s="7" t="n">
        <x:v>6.783794499999203</x:v>
      </x:c>
      <x:c r="K196" s="7" t="n">
        <x:f>IF(G196&gt;0,1,0)</x:f>
        <x:v>1</x:v>
      </x:c>
      <x:c r="L196" s="7" t="n">
        <x:f>IF(E196="",0,1/E196)</x:f>
        <x:v>0.3333333333333333</x:v>
      </x:c>
      <x:c r="M196" s="7" t="n">
        <x:f>G196/F196</x:f>
        <x:v>0.3333333333333333</x:v>
      </x:c>
      <x:c r="N196" s="7" t="n">
        <x:f>I196/H196</x:f>
        <x:v>0.5</x:v>
      </x:c>
      <x:c r="O196" s="7" t="n">
        <x:f>IF(I196=H196,1,0)</x:f>
        <x:v>0</x:v>
      </x:c>
    </x:row>
    <x:row r="197" ht="23" customHeight="1">
      <x:c r="A197" s="2" t="str">
        <x:v>S009</x:v>
      </x:c>
      <x:c r="B197" s="2" t="str">
        <x:v>rerank40</x:v>
      </x:c>
      <x:c r="C197" s="2" t="str">
        <x:v>synthesis</x:v>
      </x:c>
      <x:c r="D197" s="2" t="str">
        <x:v>zh</x:v>
      </x:c>
      <x:c r="E197" s="2"/>
      <x:c r="F197" s="2" t="n">
        <x:v>3</x:v>
      </x:c>
      <x:c r="G197" s="2" t="n">
        <x:v>0</x:v>
      </x:c>
      <x:c r="H197" s="2" t="n">
        <x:v>3</x:v>
      </x:c>
      <x:c r="I197" s="2" t="n">
        <x:v>0</x:v>
      </x:c>
      <x:c r="J197" s="7" t="n">
        <x:v>16.26264539999829</x:v>
      </x:c>
      <x:c r="K197" s="7" t="n">
        <x:f>IF(G197&gt;0,1,0)</x:f>
        <x:v>0</x:v>
      </x:c>
      <x:c r="L197" s="7" t="n">
        <x:f>IF(E197="",0,1/E197)</x:f>
        <x:v>0</x:v>
      </x:c>
      <x:c r="M197" s="7" t="n">
        <x:f>G197/F197</x:f>
        <x:v>0</x:v>
      </x:c>
      <x:c r="N197" s="7" t="n">
        <x:f>I197/H197</x:f>
        <x:v>0</x:v>
      </x:c>
      <x:c r="O197" s="7" t="n">
        <x:f>IF(I197=H197,1,0)</x:f>
        <x:v>0</x:v>
      </x:c>
    </x:row>
    <x:row r="198" ht="23" customHeight="1">
      <x:c r="A198" s="2" t="str">
        <x:v>S009</x:v>
      </x:c>
      <x:c r="B198" s="2" t="str">
        <x:v>vector</x:v>
      </x:c>
      <x:c r="C198" s="2" t="str">
        <x:v>synthesis</x:v>
      </x:c>
      <x:c r="D198" s="2" t="str">
        <x:v>zh</x:v>
      </x:c>
      <x:c r="E198" s="2"/>
      <x:c r="F198" s="2" t="n">
        <x:v>3</x:v>
      </x:c>
      <x:c r="G198" s="2" t="n">
        <x:v>0</x:v>
      </x:c>
      <x:c r="H198" s="2" t="n">
        <x:v>3</x:v>
      </x:c>
      <x:c r="I198" s="2" t="n">
        <x:v>0</x:v>
      </x:c>
      <x:c r="J198" s="7" t="n">
        <x:v>0.09628000000157044</x:v>
      </x:c>
      <x:c r="K198" s="7" t="n">
        <x:f>IF(G198&gt;0,1,0)</x:f>
        <x:v>0</x:v>
      </x:c>
      <x:c r="L198" s="7" t="n">
        <x:f>IF(E198="",0,1/E198)</x:f>
        <x:v>0</x:v>
      </x:c>
      <x:c r="M198" s="7" t="n">
        <x:f>G198/F198</x:f>
        <x:v>0</x:v>
      </x:c>
      <x:c r="N198" s="7" t="n">
        <x:f>I198/H198</x:f>
        <x:v>0</x:v>
      </x:c>
      <x:c r="O198" s="7" t="n">
        <x:f>IF(I198=H198,1,0)</x:f>
        <x:v>0</x:v>
      </x:c>
    </x:row>
    <x:row r="199" ht="23" customHeight="1">
      <x:c r="A199" s="2" t="str">
        <x:v>S009</x:v>
      </x:c>
      <x:c r="B199" s="2" t="str">
        <x:v>hybrid</x:v>
      </x:c>
      <x:c r="C199" s="2" t="str">
        <x:v>synthesis</x:v>
      </x:c>
      <x:c r="D199" s="2" t="str">
        <x:v>zh</x:v>
      </x:c>
      <x:c r="E199" s="2"/>
      <x:c r="F199" s="2" t="n">
        <x:v>3</x:v>
      </x:c>
      <x:c r="G199" s="2" t="n">
        <x:v>0</x:v>
      </x:c>
      <x:c r="H199" s="2" t="n">
        <x:v>3</x:v>
      </x:c>
      <x:c r="I199" s="2" t="n">
        <x:v>0</x:v>
      </x:c>
      <x:c r="J199" s="7" t="n">
        <x:v>0.17893829999957234</x:v>
      </x:c>
      <x:c r="K199" s="7" t="n">
        <x:f>IF(G199&gt;0,1,0)</x:f>
        <x:v>0</x:v>
      </x:c>
      <x:c r="L199" s="7" t="n">
        <x:f>IF(E199="",0,1/E199)</x:f>
        <x:v>0</x:v>
      </x:c>
      <x:c r="M199" s="7" t="n">
        <x:f>G199/F199</x:f>
        <x:v>0</x:v>
      </x:c>
      <x:c r="N199" s="7" t="n">
        <x:f>I199/H199</x:f>
        <x:v>0</x:v>
      </x:c>
      <x:c r="O199" s="7" t="n">
        <x:f>IF(I199=H199,1,0)</x:f>
        <x:v>0</x:v>
      </x:c>
    </x:row>
    <x:row r="200" ht="23" customHeight="1">
      <x:c r="A200" s="2" t="str">
        <x:v>S009</x:v>
      </x:c>
      <x:c r="B200" s="2" t="str">
        <x:v>rerank20</x:v>
      </x:c>
      <x:c r="C200" s="2" t="str">
        <x:v>synthesis</x:v>
      </x:c>
      <x:c r="D200" s="2" t="str">
        <x:v>zh</x:v>
      </x:c>
      <x:c r="E200" s="2"/>
      <x:c r="F200" s="2" t="n">
        <x:v>3</x:v>
      </x:c>
      <x:c r="G200" s="2" t="n">
        <x:v>0</x:v>
      </x:c>
      <x:c r="H200" s="2" t="n">
        <x:v>3</x:v>
      </x:c>
      <x:c r="I200" s="2" t="n">
        <x:v>0</x:v>
      </x:c>
      <x:c r="J200" s="7" t="n">
        <x:v>6.06739430000016</x:v>
      </x:c>
      <x:c r="K200" s="7" t="n">
        <x:f>IF(G200&gt;0,1,0)</x:f>
        <x:v>0</x:v>
      </x:c>
      <x:c r="L200" s="7" t="n">
        <x:f>IF(E200="",0,1/E200)</x:f>
        <x:v>0</x:v>
      </x:c>
      <x:c r="M200" s="7" t="n">
        <x:f>G200/F200</x:f>
        <x:v>0</x:v>
      </x:c>
      <x:c r="N200" s="7" t="n">
        <x:f>I200/H200</x:f>
        <x:v>0</x:v>
      </x:c>
      <x:c r="O200" s="7" t="n">
        <x:f>IF(I200=H200,1,0)</x:f>
        <x:v>0</x:v>
      </x:c>
    </x:row>
    <x:row r="201" ht="23" customHeight="1">
      <x:c r="A201" s="2" t="str">
        <x:v>S009</x:v>
      </x:c>
      <x:c r="B201" s="2" t="str">
        <x:v>rerank10</x:v>
      </x:c>
      <x:c r="C201" s="2" t="str">
        <x:v>synthesis</x:v>
      </x:c>
      <x:c r="D201" s="2" t="str">
        <x:v>zh</x:v>
      </x:c>
      <x:c r="E201" s="2"/>
      <x:c r="F201" s="2" t="n">
        <x:v>3</x:v>
      </x:c>
      <x:c r="G201" s="2" t="n">
        <x:v>0</x:v>
      </x:c>
      <x:c r="H201" s="2" t="n">
        <x:v>3</x:v>
      </x:c>
      <x:c r="I201" s="2" t="n">
        <x:v>0</x:v>
      </x:c>
      <x:c r="J201" s="7" t="n">
        <x:v>2.5630263999992167</x:v>
      </x:c>
      <x:c r="K201" s="7" t="n">
        <x:f>IF(G201&gt;0,1,0)</x:f>
        <x:v>0</x:v>
      </x:c>
      <x:c r="L201" s="7" t="n">
        <x:f>IF(E201="",0,1/E201)</x:f>
        <x:v>0</x:v>
      </x:c>
      <x:c r="M201" s="7" t="n">
        <x:f>G201/F201</x:f>
        <x:v>0</x:v>
      </x:c>
      <x:c r="N201" s="7" t="n">
        <x:f>I201/H201</x:f>
        <x:v>0</x:v>
      </x:c>
      <x:c r="O201" s="7" t="n">
        <x:f>IF(I201=H201,1,0)</x:f>
        <x:v>0</x:v>
      </x:c>
    </x:row>
    <x:row r="202" ht="23" customHeight="1">
      <x:c r="A202" s="2" t="str">
        <x:v>F012</x:v>
      </x:c>
      <x:c r="B202" s="2" t="str">
        <x:v>vector</x:v>
      </x:c>
      <x:c r="C202" s="2" t="str">
        <x:v>fact</x:v>
      </x:c>
      <x:c r="D202" s="2" t="str">
        <x:v>en</x:v>
      </x:c>
      <x:c r="E202" s="2"/>
      <x:c r="F202" s="2" t="n">
        <x:v>1</x:v>
      </x:c>
      <x:c r="G202" s="2" t="n">
        <x:v>0</x:v>
      </x:c>
      <x:c r="H202" s="2" t="n">
        <x:v>1</x:v>
      </x:c>
      <x:c r="I202" s="2" t="n">
        <x:v>0</x:v>
      </x:c>
      <x:c r="J202" s="7" t="n">
        <x:v>0.07819089999975404</x:v>
      </x:c>
      <x:c r="K202" s="7" t="n">
        <x:f>IF(G202&gt;0,1,0)</x:f>
        <x:v>0</x:v>
      </x:c>
      <x:c r="L202" s="7" t="n">
        <x:f>IF(E202="",0,1/E202)</x:f>
        <x:v>0</x:v>
      </x:c>
      <x:c r="M202" s="7" t="n">
        <x:f>G202/F202</x:f>
        <x:v>0</x:v>
      </x:c>
      <x:c r="N202" s="7" t="n">
        <x:f>I202/H202</x:f>
        <x:v>0</x:v>
      </x:c>
      <x:c r="O202" s="7" t="n">
        <x:f>IF(I202=H202,1,0)</x:f>
        <x:v>0</x:v>
      </x:c>
    </x:row>
    <x:row r="203" ht="23" customHeight="1">
      <x:c r="A203" s="2" t="str">
        <x:v>F012</x:v>
      </x:c>
      <x:c r="B203" s="2" t="str">
        <x:v>hybrid</x:v>
      </x:c>
      <x:c r="C203" s="2" t="str">
        <x:v>fact</x:v>
      </x:c>
      <x:c r="D203" s="2" t="str">
        <x:v>en</x:v>
      </x:c>
      <x:c r="E203" s="2"/>
      <x:c r="F203" s="2" t="n">
        <x:v>1</x:v>
      </x:c>
      <x:c r="G203" s="2" t="n">
        <x:v>0</x:v>
      </x:c>
      <x:c r="H203" s="2" t="n">
        <x:v>1</x:v>
      </x:c>
      <x:c r="I203" s="2" t="n">
        <x:v>0</x:v>
      </x:c>
      <x:c r="J203" s="7" t="n">
        <x:v>0.14803690000189818</x:v>
      </x:c>
      <x:c r="K203" s="7" t="n">
        <x:f>IF(G203&gt;0,1,0)</x:f>
        <x:v>0</x:v>
      </x:c>
      <x:c r="L203" s="7" t="n">
        <x:f>IF(E203="",0,1/E203)</x:f>
        <x:v>0</x:v>
      </x:c>
      <x:c r="M203" s="7" t="n">
        <x:f>G203/F203</x:f>
        <x:v>0</x:v>
      </x:c>
      <x:c r="N203" s="7" t="n">
        <x:f>I203/H203</x:f>
        <x:v>0</x:v>
      </x:c>
      <x:c r="O203" s="7" t="n">
        <x:f>IF(I203=H203,1,0)</x:f>
        <x:v>0</x:v>
      </x:c>
    </x:row>
    <x:row r="204" ht="23" customHeight="1">
      <x:c r="A204" s="2" t="str">
        <x:v>F012</x:v>
      </x:c>
      <x:c r="B204" s="2" t="str">
        <x:v>rerank20</x:v>
      </x:c>
      <x:c r="C204" s="2" t="str">
        <x:v>fact</x:v>
      </x:c>
      <x:c r="D204" s="2" t="str">
        <x:v>en</x:v>
      </x:c>
      <x:c r="E204" s="2" t="n">
        <x:v>3</x:v>
      </x:c>
      <x:c r="F204" s="2" t="n">
        <x:v>1</x:v>
      </x:c>
      <x:c r="G204" s="2" t="n">
        <x:v>1</x:v>
      </x:c>
      <x:c r="H204" s="2" t="n">
        <x:v>1</x:v>
      </x:c>
      <x:c r="I204" s="2" t="n">
        <x:v>1</x:v>
      </x:c>
      <x:c r="J204" s="7" t="n">
        <x:v>5.546598200002336</x:v>
      </x:c>
      <x:c r="K204" s="7" t="n">
        <x:f>IF(G204&gt;0,1,0)</x:f>
        <x:v>1</x:v>
      </x:c>
      <x:c r="L204" s="7" t="n">
        <x:f>IF(E204="",0,1/E204)</x:f>
        <x:v>0.3333333333333333</x:v>
      </x:c>
      <x:c r="M204" s="7" t="n">
        <x:f>G204/F204</x:f>
        <x:v>1</x:v>
      </x:c>
      <x:c r="N204" s="7" t="n">
        <x:f>I204/H204</x:f>
        <x:v>1</x:v>
      </x:c>
      <x:c r="O204" s="7" t="n">
        <x:f>IF(I204=H204,1,0)</x:f>
        <x:v>1</x:v>
      </x:c>
    </x:row>
    <x:row r="205" ht="23" customHeight="1">
      <x:c r="A205" s="2" t="str">
        <x:v>F012</x:v>
      </x:c>
      <x:c r="B205" s="2" t="str">
        <x:v>rerank10</x:v>
      </x:c>
      <x:c r="C205" s="2" t="str">
        <x:v>fact</x:v>
      </x:c>
      <x:c r="D205" s="2" t="str">
        <x:v>en</x:v>
      </x:c>
      <x:c r="E205" s="2" t="n">
        <x:v>2</x:v>
      </x:c>
      <x:c r="F205" s="2" t="n">
        <x:v>1</x:v>
      </x:c>
      <x:c r="G205" s="2" t="n">
        <x:v>1</x:v>
      </x:c>
      <x:c r="H205" s="2" t="n">
        <x:v>1</x:v>
      </x:c>
      <x:c r="I205" s="2" t="n">
        <x:v>1</x:v>
      </x:c>
      <x:c r="J205" s="7" t="n">
        <x:v>2.94403649999731</x:v>
      </x:c>
      <x:c r="K205" s="7" t="n">
        <x:f>IF(G205&gt;0,1,0)</x:f>
        <x:v>1</x:v>
      </x:c>
      <x:c r="L205" s="7" t="n">
        <x:f>IF(E205="",0,1/E205)</x:f>
        <x:v>0.5</x:v>
      </x:c>
      <x:c r="M205" s="7" t="n">
        <x:f>G205/F205</x:f>
        <x:v>1</x:v>
      </x:c>
      <x:c r="N205" s="7" t="n">
        <x:f>I205/H205</x:f>
        <x:v>1</x:v>
      </x:c>
      <x:c r="O205" s="7" t="n">
        <x:f>IF(I205=H205,1,0)</x:f>
        <x:v>1</x:v>
      </x:c>
    </x:row>
    <x:row r="206" ht="23" customHeight="1">
      <x:c r="A206" s="2" t="str">
        <x:v>F012</x:v>
      </x:c>
      <x:c r="B206" s="2" t="str">
        <x:v>rerank40</x:v>
      </x:c>
      <x:c r="C206" s="2" t="str">
        <x:v>fact</x:v>
      </x:c>
      <x:c r="D206" s="2" t="str">
        <x:v>en</x:v>
      </x:c>
      <x:c r="E206" s="2" t="n">
        <x:v>4</x:v>
      </x:c>
      <x:c r="F206" s="2" t="n">
        <x:v>1</x:v>
      </x:c>
      <x:c r="G206" s="2" t="n">
        <x:v>1</x:v>
      </x:c>
      <x:c r="H206" s="2" t="n">
        <x:v>1</x:v>
      </x:c>
      <x:c r="I206" s="2" t="n">
        <x:v>1</x:v>
      </x:c>
      <x:c r="J206" s="7" t="n">
        <x:v>10.71032059999925</x:v>
      </x:c>
      <x:c r="K206" s="7" t="n">
        <x:f>IF(G206&gt;0,1,0)</x:f>
        <x:v>1</x:v>
      </x:c>
      <x:c r="L206" s="7" t="n">
        <x:f>IF(E206="",0,1/E206)</x:f>
        <x:v>0.25</x:v>
      </x:c>
      <x:c r="M206" s="7" t="n">
        <x:f>G206/F206</x:f>
        <x:v>1</x:v>
      </x:c>
      <x:c r="N206" s="7" t="n">
        <x:f>I206/H206</x:f>
        <x:v>1</x:v>
      </x:c>
      <x:c r="O206" s="7" t="n">
        <x:f>IF(I206=H206,1,0)</x:f>
        <x:v>1</x:v>
      </x:c>
    </x:row>
    <x:row r="207" ht="23" customHeight="1">
      <x:c r="A207" s="2" t="str">
        <x:v>C009</x:v>
      </x:c>
      <x:c r="B207" s="2" t="str">
        <x:v>hybrid</x:v>
      </x:c>
      <x:c r="C207" s="2" t="str">
        <x:v>comparison</x:v>
      </x:c>
      <x:c r="D207" s="2" t="str">
        <x:v>en</x:v>
      </x:c>
      <x:c r="E207" s="2"/>
      <x:c r="F207" s="2" t="n">
        <x:v>2</x:v>
      </x:c>
      <x:c r="G207" s="2" t="n">
        <x:v>0</x:v>
      </x:c>
      <x:c r="H207" s="2" t="n">
        <x:v>2</x:v>
      </x:c>
      <x:c r="I207" s="2" t="n">
        <x:v>0</x:v>
      </x:c>
      <x:c r="J207" s="7" t="n">
        <x:v>0.17842779999773484</x:v>
      </x:c>
      <x:c r="K207" s="7" t="n">
        <x:f>IF(G207&gt;0,1,0)</x:f>
        <x:v>0</x:v>
      </x:c>
      <x:c r="L207" s="7" t="n">
        <x:f>IF(E207="",0,1/E207)</x:f>
        <x:v>0</x:v>
      </x:c>
      <x:c r="M207" s="7" t="n">
        <x:f>G207/F207</x:f>
        <x:v>0</x:v>
      </x:c>
      <x:c r="N207" s="7" t="n">
        <x:f>I207/H207</x:f>
        <x:v>0</x:v>
      </x:c>
      <x:c r="O207" s="7" t="n">
        <x:f>IF(I207=H207,1,0)</x:f>
        <x:v>0</x:v>
      </x:c>
    </x:row>
    <x:row r="208" ht="23" customHeight="1">
      <x:c r="A208" s="2" t="str">
        <x:v>C009</x:v>
      </x:c>
      <x:c r="B208" s="2" t="str">
        <x:v>rerank20</x:v>
      </x:c>
      <x:c r="C208" s="2" t="str">
        <x:v>comparison</x:v>
      </x:c>
      <x:c r="D208" s="2" t="str">
        <x:v>en</x:v>
      </x:c>
      <x:c r="E208" s="2"/>
      <x:c r="F208" s="2" t="n">
        <x:v>2</x:v>
      </x:c>
      <x:c r="G208" s="2" t="n">
        <x:v>0</x:v>
      </x:c>
      <x:c r="H208" s="2" t="n">
        <x:v>2</x:v>
      </x:c>
      <x:c r="I208" s="2" t="n">
        <x:v>0</x:v>
      </x:c>
      <x:c r="J208" s="7" t="n">
        <x:v>5.470292700003483</x:v>
      </x:c>
      <x:c r="K208" s="7" t="n">
        <x:f>IF(G208&gt;0,1,0)</x:f>
        <x:v>0</x:v>
      </x:c>
      <x:c r="L208" s="7" t="n">
        <x:f>IF(E208="",0,1/E208)</x:f>
        <x:v>0</x:v>
      </x:c>
      <x:c r="M208" s="7" t="n">
        <x:f>G208/F208</x:f>
        <x:v>0</x:v>
      </x:c>
      <x:c r="N208" s="7" t="n">
        <x:f>I208/H208</x:f>
        <x:v>0</x:v>
      </x:c>
      <x:c r="O208" s="7" t="n">
        <x:f>IF(I208=H208,1,0)</x:f>
        <x:v>0</x:v>
      </x:c>
    </x:row>
    <x:row r="209" ht="23" customHeight="1">
      <x:c r="A209" s="2" t="str">
        <x:v>C009</x:v>
      </x:c>
      <x:c r="B209" s="2" t="str">
        <x:v>rerank10</x:v>
      </x:c>
      <x:c r="C209" s="2" t="str">
        <x:v>comparison</x:v>
      </x:c>
      <x:c r="D209" s="2" t="str">
        <x:v>en</x:v>
      </x:c>
      <x:c r="E209" s="2"/>
      <x:c r="F209" s="2" t="n">
        <x:v>2</x:v>
      </x:c>
      <x:c r="G209" s="2" t="n">
        <x:v>0</x:v>
      </x:c>
      <x:c r="H209" s="2" t="n">
        <x:v>2</x:v>
      </x:c>
      <x:c r="I209" s="2" t="n">
        <x:v>0</x:v>
      </x:c>
      <x:c r="J209" s="7" t="n">
        <x:v>2.740329699998256</x:v>
      </x:c>
      <x:c r="K209" s="7" t="n">
        <x:f>IF(G209&gt;0,1,0)</x:f>
        <x:v>0</x:v>
      </x:c>
      <x:c r="L209" s="7" t="n">
        <x:f>IF(E209="",0,1/E209)</x:f>
        <x:v>0</x:v>
      </x:c>
      <x:c r="M209" s="7" t="n">
        <x:f>G209/F209</x:f>
        <x:v>0</x:v>
      </x:c>
      <x:c r="N209" s="7" t="n">
        <x:f>I209/H209</x:f>
        <x:v>0</x:v>
      </x:c>
      <x:c r="O209" s="7" t="n">
        <x:f>IF(I209=H209,1,0)</x:f>
        <x:v>0</x:v>
      </x:c>
    </x:row>
    <x:row r="210" ht="23" customHeight="1">
      <x:c r="A210" s="2" t="str">
        <x:v>C009</x:v>
      </x:c>
      <x:c r="B210" s="2" t="str">
        <x:v>rerank40</x:v>
      </x:c>
      <x:c r="C210" s="2" t="str">
        <x:v>comparison</x:v>
      </x:c>
      <x:c r="D210" s="2" t="str">
        <x:v>en</x:v>
      </x:c>
      <x:c r="E210" s="2"/>
      <x:c r="F210" s="2" t="n">
        <x:v>2</x:v>
      </x:c>
      <x:c r="G210" s="2" t="n">
        <x:v>0</x:v>
      </x:c>
      <x:c r="H210" s="2" t="n">
        <x:v>2</x:v>
      </x:c>
      <x:c r="I210" s="2" t="n">
        <x:v>0</x:v>
      </x:c>
      <x:c r="J210" s="7" t="n">
        <x:v>12.390294700002414</x:v>
      </x:c>
      <x:c r="K210" s="7" t="n">
        <x:f>IF(G210&gt;0,1,0)</x:f>
        <x:v>0</x:v>
      </x:c>
      <x:c r="L210" s="7" t="n">
        <x:f>IF(E210="",0,1/E210)</x:f>
        <x:v>0</x:v>
      </x:c>
      <x:c r="M210" s="7" t="n">
        <x:f>G210/F210</x:f>
        <x:v>0</x:v>
      </x:c>
      <x:c r="N210" s="7" t="n">
        <x:f>I210/H210</x:f>
        <x:v>0</x:v>
      </x:c>
      <x:c r="O210" s="7" t="n">
        <x:f>IF(I210=H210,1,0)</x:f>
        <x:v>0</x:v>
      </x:c>
    </x:row>
    <x:row r="211" ht="23" customHeight="1">
      <x:c r="A211" s="2" t="str">
        <x:v>C009</x:v>
      </x:c>
      <x:c r="B211" s="2" t="str">
        <x:v>vector</x:v>
      </x:c>
      <x:c r="C211" s="2" t="str">
        <x:v>comparison</x:v>
      </x:c>
      <x:c r="D211" s="2" t="str">
        <x:v>en</x:v>
      </x:c>
      <x:c r="E211" s="2"/>
      <x:c r="F211" s="2" t="n">
        <x:v>2</x:v>
      </x:c>
      <x:c r="G211" s="2" t="n">
        <x:v>0</x:v>
      </x:c>
      <x:c r="H211" s="2" t="n">
        <x:v>2</x:v>
      </x:c>
      <x:c r="I211" s="2" t="n">
        <x:v>0</x:v>
      </x:c>
      <x:c r="J211" s="7" t="n">
        <x:v>0.07392039999831468</x:v>
      </x:c>
      <x:c r="K211" s="7" t="n">
        <x:f>IF(G211&gt;0,1,0)</x:f>
        <x:v>0</x:v>
      </x:c>
      <x:c r="L211" s="7" t="n">
        <x:f>IF(E211="",0,1/E211)</x:f>
        <x:v>0</x:v>
      </x:c>
      <x:c r="M211" s="7" t="n">
        <x:f>G211/F211</x:f>
        <x:v>0</x:v>
      </x:c>
      <x:c r="N211" s="7" t="n">
        <x:f>I211/H211</x:f>
        <x:v>0</x:v>
      </x:c>
      <x:c r="O211" s="7" t="n">
        <x:f>IF(I211=H211,1,0)</x:f>
        <x:v>0</x:v>
      </x:c>
    </x:row>
    <x:row r="212" ht="23" customHeight="1">
      <x:c r="A212" s="2" t="str">
        <x:v>R006</x:v>
      </x:c>
      <x:c r="B212" s="2" t="str">
        <x:v>rerank20</x:v>
      </x:c>
      <x:c r="C212" s="2" t="str">
        <x:v>reasoning</x:v>
      </x:c>
      <x:c r="D212" s="2" t="str">
        <x:v>zh</x:v>
      </x:c>
      <x:c r="E212" s="2" t="n">
        <x:v>4</x:v>
      </x:c>
      <x:c r="F212" s="2" t="n">
        <x:v>2</x:v>
      </x:c>
      <x:c r="G212" s="2" t="n">
        <x:v>1</x:v>
      </x:c>
      <x:c r="H212" s="2" t="n">
        <x:v>1</x:v>
      </x:c>
      <x:c r="I212" s="2" t="n">
        <x:v>1</x:v>
      </x:c>
      <x:c r="J212" s="7" t="n">
        <x:v>6.747590900002251</x:v>
      </x:c>
      <x:c r="K212" s="7" t="n">
        <x:f>IF(G212&gt;0,1,0)</x:f>
        <x:v>1</x:v>
      </x:c>
      <x:c r="L212" s="7" t="n">
        <x:f>IF(E212="",0,1/E212)</x:f>
        <x:v>0.25</x:v>
      </x:c>
      <x:c r="M212" s="7" t="n">
        <x:f>G212/F212</x:f>
        <x:v>0.5</x:v>
      </x:c>
      <x:c r="N212" s="7" t="n">
        <x:f>I212/H212</x:f>
        <x:v>1</x:v>
      </x:c>
      <x:c r="O212" s="7" t="n">
        <x:f>IF(I212=H212,1,0)</x:f>
        <x:v>1</x:v>
      </x:c>
    </x:row>
    <x:row r="213" ht="23" customHeight="1">
      <x:c r="A213" s="2" t="str">
        <x:v>R006</x:v>
      </x:c>
      <x:c r="B213" s="2" t="str">
        <x:v>rerank10</x:v>
      </x:c>
      <x:c r="C213" s="2" t="str">
        <x:v>reasoning</x:v>
      </x:c>
      <x:c r="D213" s="2" t="str">
        <x:v>zh</x:v>
      </x:c>
      <x:c r="E213" s="2"/>
      <x:c r="F213" s="2" t="n">
        <x:v>2</x:v>
      </x:c>
      <x:c r="G213" s="2" t="n">
        <x:v>0</x:v>
      </x:c>
      <x:c r="H213" s="2" t="n">
        <x:v>1</x:v>
      </x:c>
      <x:c r="I213" s="2" t="n">
        <x:v>0</x:v>
      </x:c>
      <x:c r="J213" s="7" t="n">
        <x:v>3.7686839000016334</x:v>
      </x:c>
      <x:c r="K213" s="7" t="n">
        <x:f>IF(G213&gt;0,1,0)</x:f>
        <x:v>0</x:v>
      </x:c>
      <x:c r="L213" s="7" t="n">
        <x:f>IF(E213="",0,1/E213)</x:f>
        <x:v>0</x:v>
      </x:c>
      <x:c r="M213" s="7" t="n">
        <x:f>G213/F213</x:f>
        <x:v>0</x:v>
      </x:c>
      <x:c r="N213" s="7" t="n">
        <x:f>I213/H213</x:f>
        <x:v>0</x:v>
      </x:c>
      <x:c r="O213" s="7" t="n">
        <x:f>IF(I213=H213,1,0)</x:f>
        <x:v>0</x:v>
      </x:c>
    </x:row>
    <x:row r="214" ht="23" customHeight="1">
      <x:c r="A214" s="2" t="str">
        <x:v>R006</x:v>
      </x:c>
      <x:c r="B214" s="2" t="str">
        <x:v>rerank40</x:v>
      </x:c>
      <x:c r="C214" s="2" t="str">
        <x:v>reasoning</x:v>
      </x:c>
      <x:c r="D214" s="2" t="str">
        <x:v>zh</x:v>
      </x:c>
      <x:c r="E214" s="2" t="n">
        <x:v>1</x:v>
      </x:c>
      <x:c r="F214" s="2" t="n">
        <x:v>2</x:v>
      </x:c>
      <x:c r="G214" s="2" t="n">
        <x:v>2</x:v>
      </x:c>
      <x:c r="H214" s="2" t="n">
        <x:v>1</x:v>
      </x:c>
      <x:c r="I214" s="2" t="n">
        <x:v>1</x:v>
      </x:c>
      <x:c r="J214" s="7" t="n">
        <x:v>15.156606100001227</x:v>
      </x:c>
      <x:c r="K214" s="7" t="n">
        <x:f>IF(G214&gt;0,1,0)</x:f>
        <x:v>1</x:v>
      </x:c>
      <x:c r="L214" s="7" t="n">
        <x:f>IF(E214="",0,1/E214)</x:f>
        <x:v>1</x:v>
      </x:c>
      <x:c r="M214" s="7" t="n">
        <x:f>G214/F214</x:f>
        <x:v>1</x:v>
      </x:c>
      <x:c r="N214" s="7" t="n">
        <x:f>I214/H214</x:f>
        <x:v>1</x:v>
      </x:c>
      <x:c r="O214" s="7" t="n">
        <x:f>IF(I214=H214,1,0)</x:f>
        <x:v>1</x:v>
      </x:c>
    </x:row>
    <x:row r="215" ht="23" customHeight="1">
      <x:c r="A215" s="2" t="str">
        <x:v>R006</x:v>
      </x:c>
      <x:c r="B215" s="2" t="str">
        <x:v>vector</x:v>
      </x:c>
      <x:c r="C215" s="2" t="str">
        <x:v>reasoning</x:v>
      </x:c>
      <x:c r="D215" s="2" t="str">
        <x:v>zh</x:v>
      </x:c>
      <x:c r="E215" s="2"/>
      <x:c r="F215" s="2" t="n">
        <x:v>2</x:v>
      </x:c>
      <x:c r="G215" s="2" t="n">
        <x:v>0</x:v>
      </x:c>
      <x:c r="H215" s="2" t="n">
        <x:v>1</x:v>
      </x:c>
      <x:c r="I215" s="2" t="n">
        <x:v>0</x:v>
      </x:c>
      <x:c r="J215" s="7" t="n">
        <x:v>0.09376450000127079</x:v>
      </x:c>
      <x:c r="K215" s="7" t="n">
        <x:f>IF(G215&gt;0,1,0)</x:f>
        <x:v>0</x:v>
      </x:c>
      <x:c r="L215" s="7" t="n">
        <x:f>IF(E215="",0,1/E215)</x:f>
        <x:v>0</x:v>
      </x:c>
      <x:c r="M215" s="7" t="n">
        <x:f>G215/F215</x:f>
        <x:v>0</x:v>
      </x:c>
      <x:c r="N215" s="7" t="n">
        <x:f>I215/H215</x:f>
        <x:v>0</x:v>
      </x:c>
      <x:c r="O215" s="7" t="n">
        <x:f>IF(I215=H215,1,0)</x:f>
        <x:v>0</x:v>
      </x:c>
    </x:row>
    <x:row r="216" ht="23" customHeight="1">
      <x:c r="A216" s="2" t="str">
        <x:v>R006</x:v>
      </x:c>
      <x:c r="B216" s="2" t="str">
        <x:v>hybrid</x:v>
      </x:c>
      <x:c r="C216" s="2" t="str">
        <x:v>reasoning</x:v>
      </x:c>
      <x:c r="D216" s="2" t="str">
        <x:v>zh</x:v>
      </x:c>
      <x:c r="E216" s="2"/>
      <x:c r="F216" s="2" t="n">
        <x:v>2</x:v>
      </x:c>
      <x:c r="G216" s="2" t="n">
        <x:v>0</x:v>
      </x:c>
      <x:c r="H216" s="2" t="n">
        <x:v>1</x:v>
      </x:c>
      <x:c r="I216" s="2" t="n">
        <x:v>0</x:v>
      </x:c>
      <x:c r="J216" s="7" t="n">
        <x:v>0.1793056999995315</x:v>
      </x:c>
      <x:c r="K216" s="7" t="n">
        <x:f>IF(G216&gt;0,1,0)</x:f>
        <x:v>0</x:v>
      </x:c>
      <x:c r="L216" s="7" t="n">
        <x:f>IF(E216="",0,1/E216)</x:f>
        <x:v>0</x:v>
      </x:c>
      <x:c r="M216" s="7" t="n">
        <x:f>G216/F216</x:f>
        <x:v>0</x:v>
      </x:c>
      <x:c r="N216" s="7" t="n">
        <x:f>I216/H216</x:f>
        <x:v>0</x:v>
      </x:c>
      <x:c r="O216" s="7" t="n">
        <x:f>IF(I216=H216,1,0)</x:f>
        <x:v>0</x:v>
      </x:c>
    </x:row>
    <x:row r="217" ht="23" customHeight="1">
      <x:c r="A217" s="2" t="str">
        <x:v>F003</x:v>
      </x:c>
      <x:c r="B217" s="2" t="str">
        <x:v>rerank10</x:v>
      </x:c>
      <x:c r="C217" s="2" t="str">
        <x:v>fact</x:v>
      </x:c>
      <x:c r="D217" s="2" t="str">
        <x:v>zh</x:v>
      </x:c>
      <x:c r="E217" s="2" t="n">
        <x:v>1</x:v>
      </x:c>
      <x:c r="F217" s="2" t="n">
        <x:v>1</x:v>
      </x:c>
      <x:c r="G217" s="2" t="n">
        <x:v>1</x:v>
      </x:c>
      <x:c r="H217" s="2" t="n">
        <x:v>1</x:v>
      </x:c>
      <x:c r="I217" s="2" t="n">
        <x:v>1</x:v>
      </x:c>
      <x:c r="J217" s="7" t="n">
        <x:v>2.7254323000015575</x:v>
      </x:c>
      <x:c r="K217" s="7" t="n">
        <x:f>IF(G217&gt;0,1,0)</x:f>
        <x:v>1</x:v>
      </x:c>
      <x:c r="L217" s="7" t="n">
        <x:f>IF(E217="",0,1/E217)</x:f>
        <x:v>1</x:v>
      </x:c>
      <x:c r="M217" s="7" t="n">
        <x:f>G217/F217</x:f>
        <x:v>1</x:v>
      </x:c>
      <x:c r="N217" s="7" t="n">
        <x:f>I217/H217</x:f>
        <x:v>1</x:v>
      </x:c>
      <x:c r="O217" s="7" t="n">
        <x:f>IF(I217=H217,1,0)</x:f>
        <x:v>1</x:v>
      </x:c>
    </x:row>
    <x:row r="218" ht="23" customHeight="1">
      <x:c r="A218" s="2" t="str">
        <x:v>F003</x:v>
      </x:c>
      <x:c r="B218" s="2" t="str">
        <x:v>rerank40</x:v>
      </x:c>
      <x:c r="C218" s="2" t="str">
        <x:v>fact</x:v>
      </x:c>
      <x:c r="D218" s="2" t="str">
        <x:v>zh</x:v>
      </x:c>
      <x:c r="E218" s="2" t="n">
        <x:v>1</x:v>
      </x:c>
      <x:c r="F218" s="2" t="n">
        <x:v>1</x:v>
      </x:c>
      <x:c r="G218" s="2" t="n">
        <x:v>1</x:v>
      </x:c>
      <x:c r="H218" s="2" t="n">
        <x:v>1</x:v>
      </x:c>
      <x:c r="I218" s="2" t="n">
        <x:v>1</x:v>
      </x:c>
      <x:c r="J218" s="7" t="n">
        <x:v>14.421240600000601</x:v>
      </x:c>
      <x:c r="K218" s="7" t="n">
        <x:f>IF(G218&gt;0,1,0)</x:f>
        <x:v>1</x:v>
      </x:c>
      <x:c r="L218" s="7" t="n">
        <x:f>IF(E218="",0,1/E218)</x:f>
        <x:v>1</x:v>
      </x:c>
      <x:c r="M218" s="7" t="n">
        <x:f>G218/F218</x:f>
        <x:v>1</x:v>
      </x:c>
      <x:c r="N218" s="7" t="n">
        <x:f>I218/H218</x:f>
        <x:v>1</x:v>
      </x:c>
      <x:c r="O218" s="7" t="n">
        <x:f>IF(I218=H218,1,0)</x:f>
        <x:v>1</x:v>
      </x:c>
    </x:row>
    <x:row r="219" ht="23" customHeight="1">
      <x:c r="A219" s="2" t="str">
        <x:v>F003</x:v>
      </x:c>
      <x:c r="B219" s="2" t="str">
        <x:v>vector</x:v>
      </x:c>
      <x:c r="C219" s="2" t="str">
        <x:v>fact</x:v>
      </x:c>
      <x:c r="D219" s="2" t="str">
        <x:v>zh</x:v>
      </x:c>
      <x:c r="E219" s="2" t="n">
        <x:v>1</x:v>
      </x:c>
      <x:c r="F219" s="2" t="n">
        <x:v>1</x:v>
      </x:c>
      <x:c r="G219" s="2" t="n">
        <x:v>1</x:v>
      </x:c>
      <x:c r="H219" s="2" t="n">
        <x:v>1</x:v>
      </x:c>
      <x:c r="I219" s="2" t="n">
        <x:v>1</x:v>
      </x:c>
      <x:c r="J219" s="7" t="n">
        <x:v>0.0931657000000996</x:v>
      </x:c>
      <x:c r="K219" s="7" t="n">
        <x:f>IF(G219&gt;0,1,0)</x:f>
        <x:v>1</x:v>
      </x:c>
      <x:c r="L219" s="7" t="n">
        <x:f>IF(E219="",0,1/E219)</x:f>
        <x:v>1</x:v>
      </x:c>
      <x:c r="M219" s="7" t="n">
        <x:f>G219/F219</x:f>
        <x:v>1</x:v>
      </x:c>
      <x:c r="N219" s="7" t="n">
        <x:f>I219/H219</x:f>
        <x:v>1</x:v>
      </x:c>
      <x:c r="O219" s="7" t="n">
        <x:f>IF(I219=H219,1,0)</x:f>
        <x:v>1</x:v>
      </x:c>
    </x:row>
    <x:row r="220" ht="23" customHeight="1">
      <x:c r="A220" s="2" t="str">
        <x:v>F003</x:v>
      </x:c>
      <x:c r="B220" s="2" t="str">
        <x:v>hybrid</x:v>
      </x:c>
      <x:c r="C220" s="2" t="str">
        <x:v>fact</x:v>
      </x:c>
      <x:c r="D220" s="2" t="str">
        <x:v>zh</x:v>
      </x:c>
      <x:c r="E220" s="2" t="n">
        <x:v>1</x:v>
      </x:c>
      <x:c r="F220" s="2" t="n">
        <x:v>1</x:v>
      </x:c>
      <x:c r="G220" s="2" t="n">
        <x:v>1</x:v>
      </x:c>
      <x:c r="H220" s="2" t="n">
        <x:v>1</x:v>
      </x:c>
      <x:c r="I220" s="2" t="n">
        <x:v>1</x:v>
      </x:c>
      <x:c r="J220" s="7" t="n">
        <x:v>0.165993199996592</x:v>
      </x:c>
      <x:c r="K220" s="7" t="n">
        <x:f>IF(G220&gt;0,1,0)</x:f>
        <x:v>1</x:v>
      </x:c>
      <x:c r="L220" s="7" t="n">
        <x:f>IF(E220="",0,1/E220)</x:f>
        <x:v>1</x:v>
      </x:c>
      <x:c r="M220" s="7" t="n">
        <x:f>G220/F220</x:f>
        <x:v>1</x:v>
      </x:c>
      <x:c r="N220" s="7" t="n">
        <x:f>I220/H220</x:f>
        <x:v>1</x:v>
      </x:c>
      <x:c r="O220" s="7" t="n">
        <x:f>IF(I220=H220,1,0)</x:f>
        <x:v>1</x:v>
      </x:c>
    </x:row>
    <x:row r="221" ht="23" customHeight="1">
      <x:c r="A221" s="2" t="str">
        <x:v>F003</x:v>
      </x:c>
      <x:c r="B221" s="2" t="str">
        <x:v>rerank20</x:v>
      </x:c>
      <x:c r="C221" s="2" t="str">
        <x:v>fact</x:v>
      </x:c>
      <x:c r="D221" s="2" t="str">
        <x:v>zh</x:v>
      </x:c>
      <x:c r="E221" s="2" t="n">
        <x:v>1</x:v>
      </x:c>
      <x:c r="F221" s="2" t="n">
        <x:v>1</x:v>
      </x:c>
      <x:c r="G221" s="2" t="n">
        <x:v>1</x:v>
      </x:c>
      <x:c r="H221" s="2" t="n">
        <x:v>1</x:v>
      </x:c>
      <x:c r="I221" s="2" t="n">
        <x:v>1</x:v>
      </x:c>
      <x:c r="J221" s="7" t="n">
        <x:v>5.758419100002357</x:v>
      </x:c>
      <x:c r="K221" s="7" t="n">
        <x:f>IF(G221&gt;0,1,0)</x:f>
        <x:v>1</x:v>
      </x:c>
      <x:c r="L221" s="7" t="n">
        <x:f>IF(E221="",0,1/E221)</x:f>
        <x:v>1</x:v>
      </x:c>
      <x:c r="M221" s="7" t="n">
        <x:f>G221/F221</x:f>
        <x:v>1</x:v>
      </x:c>
      <x:c r="N221" s="7" t="n">
        <x:f>I221/H221</x:f>
        <x:v>1</x:v>
      </x:c>
      <x:c r="O221" s="7" t="n">
        <x:f>IF(I221=H221,1,0)</x:f>
        <x:v>1</x:v>
      </x:c>
    </x:row>
    <x:row r="222" ht="23" customHeight="1">
      <x:c r="A222" s="2" t="str">
        <x:v>R012</x:v>
      </x:c>
      <x:c r="B222" s="2" t="str">
        <x:v>rerank40</x:v>
      </x:c>
      <x:c r="C222" s="2" t="str">
        <x:v>reasoning</x:v>
      </x:c>
      <x:c r="D222" s="2" t="str">
        <x:v>zh</x:v>
      </x:c>
      <x:c r="E222" s="2"/>
      <x:c r="F222" s="2" t="n">
        <x:v>1</x:v>
      </x:c>
      <x:c r="G222" s="2" t="n">
        <x:v>0</x:v>
      </x:c>
      <x:c r="H222" s="2" t="n">
        <x:v>1</x:v>
      </x:c>
      <x:c r="I222" s="2" t="n">
        <x:v>0</x:v>
      </x:c>
      <x:c r="J222" s="7" t="n">
        <x:v>15.35065250000116</x:v>
      </x:c>
      <x:c r="K222" s="7" t="n">
        <x:f>IF(G222&gt;0,1,0)</x:f>
        <x:v>0</x:v>
      </x:c>
      <x:c r="L222" s="7" t="n">
        <x:f>IF(E222="",0,1/E222)</x:f>
        <x:v>0</x:v>
      </x:c>
      <x:c r="M222" s="7" t="n">
        <x:f>G222/F222</x:f>
        <x:v>0</x:v>
      </x:c>
      <x:c r="N222" s="7" t="n">
        <x:f>I222/H222</x:f>
        <x:v>0</x:v>
      </x:c>
      <x:c r="O222" s="7" t="n">
        <x:f>IF(I222=H222,1,0)</x:f>
        <x:v>0</x:v>
      </x:c>
    </x:row>
    <x:row r="223" ht="23" customHeight="1">
      <x:c r="A223" s="2" t="str">
        <x:v>R012</x:v>
      </x:c>
      <x:c r="B223" s="2" t="str">
        <x:v>vector</x:v>
      </x:c>
      <x:c r="C223" s="2" t="str">
        <x:v>reasoning</x:v>
      </x:c>
      <x:c r="D223" s="2" t="str">
        <x:v>zh</x:v>
      </x:c>
      <x:c r="E223" s="2"/>
      <x:c r="F223" s="2" t="n">
        <x:v>1</x:v>
      </x:c>
      <x:c r="G223" s="2" t="n">
        <x:v>0</x:v>
      </x:c>
      <x:c r="H223" s="2" t="n">
        <x:v>1</x:v>
      </x:c>
      <x:c r="I223" s="2" t="n">
        <x:v>0</x:v>
      </x:c>
      <x:c r="J223" s="7" t="n">
        <x:v>0.10193019999860553</x:v>
      </x:c>
      <x:c r="K223" s="7" t="n">
        <x:f>IF(G223&gt;0,1,0)</x:f>
        <x:v>0</x:v>
      </x:c>
      <x:c r="L223" s="7" t="n">
        <x:f>IF(E223="",0,1/E223)</x:f>
        <x:v>0</x:v>
      </x:c>
      <x:c r="M223" s="7" t="n">
        <x:f>G223/F223</x:f>
        <x:v>0</x:v>
      </x:c>
      <x:c r="N223" s="7" t="n">
        <x:f>I223/H223</x:f>
        <x:v>0</x:v>
      </x:c>
      <x:c r="O223" s="7" t="n">
        <x:f>IF(I223=H223,1,0)</x:f>
        <x:v>0</x:v>
      </x:c>
    </x:row>
    <x:row r="224" ht="23" customHeight="1">
      <x:c r="A224" s="2" t="str">
        <x:v>R012</x:v>
      </x:c>
      <x:c r="B224" s="2" t="str">
        <x:v>hybrid</x:v>
      </x:c>
      <x:c r="C224" s="2" t="str">
        <x:v>reasoning</x:v>
      </x:c>
      <x:c r="D224" s="2" t="str">
        <x:v>zh</x:v>
      </x:c>
      <x:c r="E224" s="2"/>
      <x:c r="F224" s="2" t="n">
        <x:v>1</x:v>
      </x:c>
      <x:c r="G224" s="2" t="n">
        <x:v>0</x:v>
      </x:c>
      <x:c r="H224" s="2" t="n">
        <x:v>1</x:v>
      </x:c>
      <x:c r="I224" s="2" t="n">
        <x:v>0</x:v>
      </x:c>
      <x:c r="J224" s="7" t="n">
        <x:v>0.18109330000152113</x:v>
      </x:c>
      <x:c r="K224" s="7" t="n">
        <x:f>IF(G224&gt;0,1,0)</x:f>
        <x:v>0</x:v>
      </x:c>
      <x:c r="L224" s="7" t="n">
        <x:f>IF(E224="",0,1/E224)</x:f>
        <x:v>0</x:v>
      </x:c>
      <x:c r="M224" s="7" t="n">
        <x:f>G224/F224</x:f>
        <x:v>0</x:v>
      </x:c>
      <x:c r="N224" s="7" t="n">
        <x:f>I224/H224</x:f>
        <x:v>0</x:v>
      </x:c>
      <x:c r="O224" s="7" t="n">
        <x:f>IF(I224=H224,1,0)</x:f>
        <x:v>0</x:v>
      </x:c>
    </x:row>
    <x:row r="225" ht="23" customHeight="1">
      <x:c r="A225" s="2" t="str">
        <x:v>R012</x:v>
      </x:c>
      <x:c r="B225" s="2" t="str">
        <x:v>rerank20</x:v>
      </x:c>
      <x:c r="C225" s="2" t="str">
        <x:v>reasoning</x:v>
      </x:c>
      <x:c r="D225" s="2" t="str">
        <x:v>zh</x:v>
      </x:c>
      <x:c r="E225" s="2"/>
      <x:c r="F225" s="2" t="n">
        <x:v>1</x:v>
      </x:c>
      <x:c r="G225" s="2" t="n">
        <x:v>0</x:v>
      </x:c>
      <x:c r="H225" s="2" t="n">
        <x:v>1</x:v>
      </x:c>
      <x:c r="I225" s="2" t="n">
        <x:v>0</x:v>
      </x:c>
      <x:c r="J225" s="7" t="n">
        <x:v>5.333476100000553</x:v>
      </x:c>
      <x:c r="K225" s="7" t="n">
        <x:f>IF(G225&gt;0,1,0)</x:f>
        <x:v>0</x:v>
      </x:c>
      <x:c r="L225" s="7" t="n">
        <x:f>IF(E225="",0,1/E225)</x:f>
        <x:v>0</x:v>
      </x:c>
      <x:c r="M225" s="7" t="n">
        <x:f>G225/F225</x:f>
        <x:v>0</x:v>
      </x:c>
      <x:c r="N225" s="7" t="n">
        <x:f>I225/H225</x:f>
        <x:v>0</x:v>
      </x:c>
      <x:c r="O225" s="7" t="n">
        <x:f>IF(I225=H225,1,0)</x:f>
        <x:v>0</x:v>
      </x:c>
    </x:row>
    <x:row r="226" ht="23" customHeight="1">
      <x:c r="A226" s="2" t="str">
        <x:v>R012</x:v>
      </x:c>
      <x:c r="B226" s="2" t="str">
        <x:v>rerank10</x:v>
      </x:c>
      <x:c r="C226" s="2" t="str">
        <x:v>reasoning</x:v>
      </x:c>
      <x:c r="D226" s="2" t="str">
        <x:v>zh</x:v>
      </x:c>
      <x:c r="E226" s="2"/>
      <x:c r="F226" s="2" t="n">
        <x:v>1</x:v>
      </x:c>
      <x:c r="G226" s="2" t="n">
        <x:v>0</x:v>
      </x:c>
      <x:c r="H226" s="2" t="n">
        <x:v>1</x:v>
      </x:c>
      <x:c r="I226" s="2" t="n">
        <x:v>0</x:v>
      </x:c>
      <x:c r="J226" s="7" t="n">
        <x:v>2.596806400000787</x:v>
      </x:c>
      <x:c r="K226" s="7" t="n">
        <x:f>IF(G226&gt;0,1,0)</x:f>
        <x:v>0</x:v>
      </x:c>
      <x:c r="L226" s="7" t="n">
        <x:f>IF(E226="",0,1/E226)</x:f>
        <x:v>0</x:v>
      </x:c>
      <x:c r="M226" s="7" t="n">
        <x:f>G226/F226</x:f>
        <x:v>0</x:v>
      </x:c>
      <x:c r="N226" s="7" t="n">
        <x:f>I226/H226</x:f>
        <x:v>0</x:v>
      </x:c>
      <x:c r="O226" s="7" t="n">
        <x:f>IF(I226=H226,1,0)</x:f>
        <x:v>0</x:v>
      </x:c>
    </x:row>
    <x:row r="227" ht="23" customHeight="1">
      <x:c r="A227" s="2" t="str">
        <x:v>R003</x:v>
      </x:c>
      <x:c r="B227" s="2" t="str">
        <x:v>vector</x:v>
      </x:c>
      <x:c r="C227" s="2" t="str">
        <x:v>reasoning</x:v>
      </x:c>
      <x:c r="D227" s="2" t="str">
        <x:v>en</x:v>
      </x:c>
      <x:c r="E227" s="2" t="n">
        <x:v>1</x:v>
      </x:c>
      <x:c r="F227" s="2" t="n">
        <x:v>1</x:v>
      </x:c>
      <x:c r="G227" s="2" t="n">
        <x:v>1</x:v>
      </x:c>
      <x:c r="H227" s="2" t="n">
        <x:v>1</x:v>
      </x:c>
      <x:c r="I227" s="2" t="n">
        <x:v>1</x:v>
      </x:c>
      <x:c r="J227" s="7" t="n">
        <x:v>0.09194879999995464</x:v>
      </x:c>
      <x:c r="K227" s="7" t="n">
        <x:f>IF(G227&gt;0,1,0)</x:f>
        <x:v>1</x:v>
      </x:c>
      <x:c r="L227" s="7" t="n">
        <x:f>IF(E227="",0,1/E227)</x:f>
        <x:v>1</x:v>
      </x:c>
      <x:c r="M227" s="7" t="n">
        <x:f>G227/F227</x:f>
        <x:v>1</x:v>
      </x:c>
      <x:c r="N227" s="7" t="n">
        <x:f>I227/H227</x:f>
        <x:v>1</x:v>
      </x:c>
      <x:c r="O227" s="7" t="n">
        <x:f>IF(I227=H227,1,0)</x:f>
        <x:v>1</x:v>
      </x:c>
    </x:row>
    <x:row r="228" ht="23" customHeight="1">
      <x:c r="A228" s="2" t="str">
        <x:v>R003</x:v>
      </x:c>
      <x:c r="B228" s="2" t="str">
        <x:v>hybrid</x:v>
      </x:c>
      <x:c r="C228" s="2" t="str">
        <x:v>reasoning</x:v>
      </x:c>
      <x:c r="D228" s="2" t="str">
        <x:v>en</x:v>
      </x:c>
      <x:c r="E228" s="2" t="n">
        <x:v>1</x:v>
      </x:c>
      <x:c r="F228" s="2" t="n">
        <x:v>1</x:v>
      </x:c>
      <x:c r="G228" s="2" t="n">
        <x:v>1</x:v>
      </x:c>
      <x:c r="H228" s="2" t="n">
        <x:v>1</x:v>
      </x:c>
      <x:c r="I228" s="2" t="n">
        <x:v>1</x:v>
      </x:c>
      <x:c r="J228" s="7" t="n">
        <x:v>0.16066480000154115</x:v>
      </x:c>
      <x:c r="K228" s="7" t="n">
        <x:f>IF(G228&gt;0,1,0)</x:f>
        <x:v>1</x:v>
      </x:c>
      <x:c r="L228" s="7" t="n">
        <x:f>IF(E228="",0,1/E228)</x:f>
        <x:v>1</x:v>
      </x:c>
      <x:c r="M228" s="7" t="n">
        <x:f>G228/F228</x:f>
        <x:v>1</x:v>
      </x:c>
      <x:c r="N228" s="7" t="n">
        <x:f>I228/H228</x:f>
        <x:v>1</x:v>
      </x:c>
      <x:c r="O228" s="7" t="n">
        <x:f>IF(I228=H228,1,0)</x:f>
        <x:v>1</x:v>
      </x:c>
    </x:row>
    <x:row r="229" ht="23" customHeight="1">
      <x:c r="A229" s="2" t="str">
        <x:v>R003</x:v>
      </x:c>
      <x:c r="B229" s="2" t="str">
        <x:v>rerank20</x:v>
      </x:c>
      <x:c r="C229" s="2" t="str">
        <x:v>reasoning</x:v>
      </x:c>
      <x:c r="D229" s="2" t="str">
        <x:v>en</x:v>
      </x:c>
      <x:c r="E229" s="2" t="n">
        <x:v>2</x:v>
      </x:c>
      <x:c r="F229" s="2" t="n">
        <x:v>1</x:v>
      </x:c>
      <x:c r="G229" s="2" t="n">
        <x:v>1</x:v>
      </x:c>
      <x:c r="H229" s="2" t="n">
        <x:v>1</x:v>
      </x:c>
      <x:c r="I229" s="2" t="n">
        <x:v>1</x:v>
      </x:c>
      <x:c r="J229" s="7" t="n">
        <x:v>6.586863199998334</x:v>
      </x:c>
      <x:c r="K229" s="7" t="n">
        <x:f>IF(G229&gt;0,1,0)</x:f>
        <x:v>1</x:v>
      </x:c>
      <x:c r="L229" s="7" t="n">
        <x:f>IF(E229="",0,1/E229)</x:f>
        <x:v>0.5</x:v>
      </x:c>
      <x:c r="M229" s="7" t="n">
        <x:f>G229/F229</x:f>
        <x:v>1</x:v>
      </x:c>
      <x:c r="N229" s="7" t="n">
        <x:f>I229/H229</x:f>
        <x:v>1</x:v>
      </x:c>
      <x:c r="O229" s="7" t="n">
        <x:f>IF(I229=H229,1,0)</x:f>
        <x:v>1</x:v>
      </x:c>
    </x:row>
    <x:row r="230" ht="23" customHeight="1">
      <x:c r="A230" s="2" t="str">
        <x:v>R003</x:v>
      </x:c>
      <x:c r="B230" s="2" t="str">
        <x:v>rerank10</x:v>
      </x:c>
      <x:c r="C230" s="2" t="str">
        <x:v>reasoning</x:v>
      </x:c>
      <x:c r="D230" s="2" t="str">
        <x:v>en</x:v>
      </x:c>
      <x:c r="E230" s="2" t="n">
        <x:v>2</x:v>
      </x:c>
      <x:c r="F230" s="2" t="n">
        <x:v>1</x:v>
      </x:c>
      <x:c r="G230" s="2" t="n">
        <x:v>1</x:v>
      </x:c>
      <x:c r="H230" s="2" t="n">
        <x:v>1</x:v>
      </x:c>
      <x:c r="I230" s="2" t="n">
        <x:v>1</x:v>
      </x:c>
      <x:c r="J230" s="7" t="n">
        <x:v>2.667922399999952</x:v>
      </x:c>
      <x:c r="K230" s="7" t="n">
        <x:f>IF(G230&gt;0,1,0)</x:f>
        <x:v>1</x:v>
      </x:c>
      <x:c r="L230" s="7" t="n">
        <x:f>IF(E230="",0,1/E230)</x:f>
        <x:v>0.5</x:v>
      </x:c>
      <x:c r="M230" s="7" t="n">
        <x:f>G230/F230</x:f>
        <x:v>1</x:v>
      </x:c>
      <x:c r="N230" s="7" t="n">
        <x:f>I230/H230</x:f>
        <x:v>1</x:v>
      </x:c>
      <x:c r="O230" s="7" t="n">
        <x:f>IF(I230=H230,1,0)</x:f>
        <x:v>1</x:v>
      </x:c>
    </x:row>
    <x:row r="231" ht="23" customHeight="1">
      <x:c r="A231" s="2" t="str">
        <x:v>R003</x:v>
      </x:c>
      <x:c r="B231" s="2" t="str">
        <x:v>rerank40</x:v>
      </x:c>
      <x:c r="C231" s="2" t="str">
        <x:v>reasoning</x:v>
      </x:c>
      <x:c r="D231" s="2" t="str">
        <x:v>en</x:v>
      </x:c>
      <x:c r="E231" s="2" t="n">
        <x:v>2</x:v>
      </x:c>
      <x:c r="F231" s="2" t="n">
        <x:v>1</x:v>
      </x:c>
      <x:c r="G231" s="2" t="n">
        <x:v>1</x:v>
      </x:c>
      <x:c r="H231" s="2" t="n">
        <x:v>1</x:v>
      </x:c>
      <x:c r="I231" s="2" t="n">
        <x:v>1</x:v>
      </x:c>
      <x:c r="J231" s="7" t="n">
        <x:v>11.858900499999436</x:v>
      </x:c>
      <x:c r="K231" s="7" t="n">
        <x:f>IF(G231&gt;0,1,0)</x:f>
        <x:v>1</x:v>
      </x:c>
      <x:c r="L231" s="7" t="n">
        <x:f>IF(E231="",0,1/E231)</x:f>
        <x:v>0.5</x:v>
      </x:c>
      <x:c r="M231" s="7" t="n">
        <x:f>G231/F231</x:f>
        <x:v>1</x:v>
      </x:c>
      <x:c r="N231" s="7" t="n">
        <x:f>I231/H231</x:f>
        <x:v>1</x:v>
      </x:c>
      <x:c r="O231" s="7" t="n">
        <x:f>IF(I231=H231,1,0)</x:f>
        <x:v>1</x:v>
      </x:c>
    </x:row>
    <x:row r="232" ht="23" customHeight="1">
      <x:c r="A232" s="2" t="str">
        <x:v>S005</x:v>
      </x:c>
      <x:c r="B232" s="2" t="str">
        <x:v>hybrid</x:v>
      </x:c>
      <x:c r="C232" s="2" t="str">
        <x:v>synthesis</x:v>
      </x:c>
      <x:c r="D232" s="2" t="str">
        <x:v>zh</x:v>
      </x:c>
      <x:c r="E232" s="2"/>
      <x:c r="F232" s="2" t="n">
        <x:v>3</x:v>
      </x:c>
      <x:c r="G232" s="2" t="n">
        <x:v>0</x:v>
      </x:c>
      <x:c r="H232" s="2" t="n">
        <x:v>3</x:v>
      </x:c>
      <x:c r="I232" s="2" t="n">
        <x:v>0</x:v>
      </x:c>
      <x:c r="J232" s="7" t="n">
        <x:v>0.16387380000014673</x:v>
      </x:c>
      <x:c r="K232" s="7" t="n">
        <x:f>IF(G232&gt;0,1,0)</x:f>
        <x:v>0</x:v>
      </x:c>
      <x:c r="L232" s="7" t="n">
        <x:f>IF(E232="",0,1/E232)</x:f>
        <x:v>0</x:v>
      </x:c>
      <x:c r="M232" s="7" t="n">
        <x:f>G232/F232</x:f>
        <x:v>0</x:v>
      </x:c>
      <x:c r="N232" s="7" t="n">
        <x:f>I232/H232</x:f>
        <x:v>0</x:v>
      </x:c>
      <x:c r="O232" s="7" t="n">
        <x:f>IF(I232=H232,1,0)</x:f>
        <x:v>0</x:v>
      </x:c>
    </x:row>
    <x:row r="233" ht="23" customHeight="1">
      <x:c r="A233" s="2" t="str">
        <x:v>S005</x:v>
      </x:c>
      <x:c r="B233" s="2" t="str">
        <x:v>rerank20</x:v>
      </x:c>
      <x:c r="C233" s="2" t="str">
        <x:v>synthesis</x:v>
      </x:c>
      <x:c r="D233" s="2" t="str">
        <x:v>zh</x:v>
      </x:c>
      <x:c r="E233" s="2"/>
      <x:c r="F233" s="2" t="n">
        <x:v>3</x:v>
      </x:c>
      <x:c r="G233" s="2" t="n">
        <x:v>0</x:v>
      </x:c>
      <x:c r="H233" s="2" t="n">
        <x:v>3</x:v>
      </x:c>
      <x:c r="I233" s="2" t="n">
        <x:v>0</x:v>
      </x:c>
      <x:c r="J233" s="7" t="n">
        <x:v>6.982588699996995</x:v>
      </x:c>
      <x:c r="K233" s="7" t="n">
        <x:f>IF(G233&gt;0,1,0)</x:f>
        <x:v>0</x:v>
      </x:c>
      <x:c r="L233" s="7" t="n">
        <x:f>IF(E233="",0,1/E233)</x:f>
        <x:v>0</x:v>
      </x:c>
      <x:c r="M233" s="7" t="n">
        <x:f>G233/F233</x:f>
        <x:v>0</x:v>
      </x:c>
      <x:c r="N233" s="7" t="n">
        <x:f>I233/H233</x:f>
        <x:v>0</x:v>
      </x:c>
      <x:c r="O233" s="7" t="n">
        <x:f>IF(I233=H233,1,0)</x:f>
        <x:v>0</x:v>
      </x:c>
    </x:row>
    <x:row r="234" ht="23" customHeight="1">
      <x:c r="A234" s="2" t="str">
        <x:v>S005</x:v>
      </x:c>
      <x:c r="B234" s="2" t="str">
        <x:v>rerank10</x:v>
      </x:c>
      <x:c r="C234" s="2" t="str">
        <x:v>synthesis</x:v>
      </x:c>
      <x:c r="D234" s="2" t="str">
        <x:v>zh</x:v>
      </x:c>
      <x:c r="E234" s="2"/>
      <x:c r="F234" s="2" t="n">
        <x:v>3</x:v>
      </x:c>
      <x:c r="G234" s="2" t="n">
        <x:v>0</x:v>
      </x:c>
      <x:c r="H234" s="2" t="n">
        <x:v>3</x:v>
      </x:c>
      <x:c r="I234" s="2" t="n">
        <x:v>0</x:v>
      </x:c>
      <x:c r="J234" s="7" t="n">
        <x:v>3.510361100001319</x:v>
      </x:c>
      <x:c r="K234" s="7" t="n">
        <x:f>IF(G234&gt;0,1,0)</x:f>
        <x:v>0</x:v>
      </x:c>
      <x:c r="L234" s="7" t="n">
        <x:f>IF(E234="",0,1/E234)</x:f>
        <x:v>0</x:v>
      </x:c>
      <x:c r="M234" s="7" t="n">
        <x:f>G234/F234</x:f>
        <x:v>0</x:v>
      </x:c>
      <x:c r="N234" s="7" t="n">
        <x:f>I234/H234</x:f>
        <x:v>0</x:v>
      </x:c>
      <x:c r="O234" s="7" t="n">
        <x:f>IF(I234=H234,1,0)</x:f>
        <x:v>0</x:v>
      </x:c>
    </x:row>
    <x:row r="235" ht="23" customHeight="1">
      <x:c r="A235" s="2" t="str">
        <x:v>S005</x:v>
      </x:c>
      <x:c r="B235" s="2" t="str">
        <x:v>rerank40</x:v>
      </x:c>
      <x:c r="C235" s="2" t="str">
        <x:v>synthesis</x:v>
      </x:c>
      <x:c r="D235" s="2" t="str">
        <x:v>zh</x:v>
      </x:c>
      <x:c r="E235" s="2"/>
      <x:c r="F235" s="2" t="n">
        <x:v>3</x:v>
      </x:c>
      <x:c r="G235" s="2" t="n">
        <x:v>0</x:v>
      </x:c>
      <x:c r="H235" s="2" t="n">
        <x:v>3</x:v>
      </x:c>
      <x:c r="I235" s="2" t="n">
        <x:v>0</x:v>
      </x:c>
      <x:c r="J235" s="7" t="n">
        <x:v>12.812844300002325</x:v>
      </x:c>
      <x:c r="K235" s="7" t="n">
        <x:f>IF(G235&gt;0,1,0)</x:f>
        <x:v>0</x:v>
      </x:c>
      <x:c r="L235" s="7" t="n">
        <x:f>IF(E235="",0,1/E235)</x:f>
        <x:v>0</x:v>
      </x:c>
      <x:c r="M235" s="7" t="n">
        <x:f>G235/F235</x:f>
        <x:v>0</x:v>
      </x:c>
      <x:c r="N235" s="7" t="n">
        <x:f>I235/H235</x:f>
        <x:v>0</x:v>
      </x:c>
      <x:c r="O235" s="7" t="n">
        <x:f>IF(I235=H235,1,0)</x:f>
        <x:v>0</x:v>
      </x:c>
    </x:row>
    <x:row r="236" ht="23" customHeight="1">
      <x:c r="A236" s="2" t="str">
        <x:v>S005</x:v>
      </x:c>
      <x:c r="B236" s="2" t="str">
        <x:v>vector</x:v>
      </x:c>
      <x:c r="C236" s="2" t="str">
        <x:v>synthesis</x:v>
      </x:c>
      <x:c r="D236" s="2" t="str">
        <x:v>zh</x:v>
      </x:c>
      <x:c r="E236" s="2" t="n">
        <x:v>5</x:v>
      </x:c>
      <x:c r="F236" s="2" t="n">
        <x:v>3</x:v>
      </x:c>
      <x:c r="G236" s="2" t="n">
        <x:v>1</x:v>
      </x:c>
      <x:c r="H236" s="2" t="n">
        <x:v>3</x:v>
      </x:c>
      <x:c r="I236" s="2" t="n">
        <x:v>1</x:v>
      </x:c>
      <x:c r="J236" s="7" t="n">
        <x:v>0.09095999999772175</x:v>
      </x:c>
      <x:c r="K236" s="7" t="n">
        <x:f>IF(G236&gt;0,1,0)</x:f>
        <x:v>1</x:v>
      </x:c>
      <x:c r="L236" s="7" t="n">
        <x:f>IF(E236="",0,1/E236)</x:f>
        <x:v>0.2</x:v>
      </x:c>
      <x:c r="M236" s="7" t="n">
        <x:f>G236/F236</x:f>
        <x:v>0.3333333333333333</x:v>
      </x:c>
      <x:c r="N236" s="7" t="n">
        <x:f>I236/H236</x:f>
        <x:v>0.3333333333333333</x:v>
      </x:c>
      <x:c r="O236" s="7" t="n">
        <x:f>IF(I236=H236,1,0)</x:f>
        <x:v>0</x:v>
      </x:c>
    </x:row>
    <x:row r="237" ht="23" customHeight="1">
      <x:c r="A237" s="2" t="str">
        <x:v>F013</x:v>
      </x:c>
      <x:c r="B237" s="2" t="str">
        <x:v>rerank20</x:v>
      </x:c>
      <x:c r="C237" s="2" t="str">
        <x:v>fact</x:v>
      </x:c>
      <x:c r="D237" s="2" t="str">
        <x:v>zh</x:v>
      </x:c>
      <x:c r="E237" s="2" t="n">
        <x:v>1</x:v>
      </x:c>
      <x:c r="F237" s="2" t="n">
        <x:v>1</x:v>
      </x:c>
      <x:c r="G237" s="2" t="n">
        <x:v>1</x:v>
      </x:c>
      <x:c r="H237" s="2" t="n">
        <x:v>1</x:v>
      </x:c>
      <x:c r="I237" s="2" t="n">
        <x:v>1</x:v>
      </x:c>
      <x:c r="J237" s="7" t="n">
        <x:v>5.952423200000339</x:v>
      </x:c>
      <x:c r="K237" s="7" t="n">
        <x:f>IF(G237&gt;0,1,0)</x:f>
        <x:v>1</x:v>
      </x:c>
      <x:c r="L237" s="7" t="n">
        <x:f>IF(E237="",0,1/E237)</x:f>
        <x:v>1</x:v>
      </x:c>
      <x:c r="M237" s="7" t="n">
        <x:f>G237/F237</x:f>
        <x:v>1</x:v>
      </x:c>
      <x:c r="N237" s="7" t="n">
        <x:f>I237/H237</x:f>
        <x:v>1</x:v>
      </x:c>
      <x:c r="O237" s="7" t="n">
        <x:f>IF(I237=H237,1,0)</x:f>
        <x:v>1</x:v>
      </x:c>
    </x:row>
    <x:row r="238" ht="23" customHeight="1">
      <x:c r="A238" s="2" t="str">
        <x:v>F013</x:v>
      </x:c>
      <x:c r="B238" s="2" t="str">
        <x:v>rerank10</x:v>
      </x:c>
      <x:c r="C238" s="2" t="str">
        <x:v>fact</x:v>
      </x:c>
      <x:c r="D238" s="2" t="str">
        <x:v>zh</x:v>
      </x:c>
      <x:c r="E238" s="2" t="n">
        <x:v>1</x:v>
      </x:c>
      <x:c r="F238" s="2" t="n">
        <x:v>1</x:v>
      </x:c>
      <x:c r="G238" s="2" t="n">
        <x:v>1</x:v>
      </x:c>
      <x:c r="H238" s="2" t="n">
        <x:v>1</x:v>
      </x:c>
      <x:c r="I238" s="2" t="n">
        <x:v>1</x:v>
      </x:c>
      <x:c r="J238" s="7" t="n">
        <x:v>2.5737512999985483</x:v>
      </x:c>
      <x:c r="K238" s="7" t="n">
        <x:f>IF(G238&gt;0,1,0)</x:f>
        <x:v>1</x:v>
      </x:c>
      <x:c r="L238" s="7" t="n">
        <x:f>IF(E238="",0,1/E238)</x:f>
        <x:v>1</x:v>
      </x:c>
      <x:c r="M238" s="7" t="n">
        <x:f>G238/F238</x:f>
        <x:v>1</x:v>
      </x:c>
      <x:c r="N238" s="7" t="n">
        <x:f>I238/H238</x:f>
        <x:v>1</x:v>
      </x:c>
      <x:c r="O238" s="7" t="n">
        <x:f>IF(I238=H238,1,0)</x:f>
        <x:v>1</x:v>
      </x:c>
    </x:row>
    <x:row r="239" ht="23" customHeight="1">
      <x:c r="A239" s="2" t="str">
        <x:v>F013</x:v>
      </x:c>
      <x:c r="B239" s="2" t="str">
        <x:v>rerank40</x:v>
      </x:c>
      <x:c r="C239" s="2" t="str">
        <x:v>fact</x:v>
      </x:c>
      <x:c r="D239" s="2" t="str">
        <x:v>zh</x:v>
      </x:c>
      <x:c r="E239" s="2" t="n">
        <x:v>1</x:v>
      </x:c>
      <x:c r="F239" s="2" t="n">
        <x:v>1</x:v>
      </x:c>
      <x:c r="G239" s="2" t="n">
        <x:v>1</x:v>
      </x:c>
      <x:c r="H239" s="2" t="n">
        <x:v>1</x:v>
      </x:c>
      <x:c r="I239" s="2" t="n">
        <x:v>1</x:v>
      </x:c>
      <x:c r="J239" s="7" t="n">
        <x:v>15.42401819999941</x:v>
      </x:c>
      <x:c r="K239" s="7" t="n">
        <x:f>IF(G239&gt;0,1,0)</x:f>
        <x:v>1</x:v>
      </x:c>
      <x:c r="L239" s="7" t="n">
        <x:f>IF(E239="",0,1/E239)</x:f>
        <x:v>1</x:v>
      </x:c>
      <x:c r="M239" s="7" t="n">
        <x:f>G239/F239</x:f>
        <x:v>1</x:v>
      </x:c>
      <x:c r="N239" s="7" t="n">
        <x:f>I239/H239</x:f>
        <x:v>1</x:v>
      </x:c>
      <x:c r="O239" s="7" t="n">
        <x:f>IF(I239=H239,1,0)</x:f>
        <x:v>1</x:v>
      </x:c>
    </x:row>
    <x:row r="240" ht="23" customHeight="1">
      <x:c r="A240" s="2" t="str">
        <x:v>F013</x:v>
      </x:c>
      <x:c r="B240" s="2" t="str">
        <x:v>vector</x:v>
      </x:c>
      <x:c r="C240" s="2" t="str">
        <x:v>fact</x:v>
      </x:c>
      <x:c r="D240" s="2" t="str">
        <x:v>zh</x:v>
      </x:c>
      <x:c r="E240" s="2"/>
      <x:c r="F240" s="2" t="n">
        <x:v>1</x:v>
      </x:c>
      <x:c r="G240" s="2" t="n">
        <x:v>0</x:v>
      </x:c>
      <x:c r="H240" s="2" t="n">
        <x:v>1</x:v>
      </x:c>
      <x:c r="I240" s="2" t="n">
        <x:v>0</x:v>
      </x:c>
      <x:c r="J240" s="7" t="n">
        <x:v>0.07666339999923366</x:v>
      </x:c>
      <x:c r="K240" s="7" t="n">
        <x:f>IF(G240&gt;0,1,0)</x:f>
        <x:v>0</x:v>
      </x:c>
      <x:c r="L240" s="7" t="n">
        <x:f>IF(E240="",0,1/E240)</x:f>
        <x:v>0</x:v>
      </x:c>
      <x:c r="M240" s="7" t="n">
        <x:f>G240/F240</x:f>
        <x:v>0</x:v>
      </x:c>
      <x:c r="N240" s="7" t="n">
        <x:f>I240/H240</x:f>
        <x:v>0</x:v>
      </x:c>
      <x:c r="O240" s="7" t="n">
        <x:f>IF(I240=H240,1,0)</x:f>
        <x:v>0</x:v>
      </x:c>
    </x:row>
    <x:row r="241" ht="23" customHeight="1">
      <x:c r="A241" s="2" t="str">
        <x:v>F013</x:v>
      </x:c>
      <x:c r="B241" s="2" t="str">
        <x:v>hybrid</x:v>
      </x:c>
      <x:c r="C241" s="2" t="str">
        <x:v>fact</x:v>
      </x:c>
      <x:c r="D241" s="2" t="str">
        <x:v>zh</x:v>
      </x:c>
      <x:c r="E241" s="2" t="n">
        <x:v>5</x:v>
      </x:c>
      <x:c r="F241" s="2" t="n">
        <x:v>1</x:v>
      </x:c>
      <x:c r="G241" s="2" t="n">
        <x:v>1</x:v>
      </x:c>
      <x:c r="H241" s="2" t="n">
        <x:v>1</x:v>
      </x:c>
      <x:c r="I241" s="2" t="n">
        <x:v>1</x:v>
      </x:c>
      <x:c r="J241" s="7" t="n">
        <x:v>0.15908370000033756</x:v>
      </x:c>
      <x:c r="K241" s="7" t="n">
        <x:f>IF(G241&gt;0,1,0)</x:f>
        <x:v>1</x:v>
      </x:c>
      <x:c r="L241" s="7" t="n">
        <x:f>IF(E241="",0,1/E241)</x:f>
        <x:v>0.2</x:v>
      </x:c>
      <x:c r="M241" s="7" t="n">
        <x:f>G241/F241</x:f>
        <x:v>1</x:v>
      </x:c>
      <x:c r="N241" s="7" t="n">
        <x:f>I241/H241</x:f>
        <x:v>1</x:v>
      </x:c>
      <x:c r="O241" s="7" t="n">
        <x:f>IF(I241=H241,1,0)</x:f>
        <x:v>1</x:v>
      </x:c>
    </x:row>
    <x:row r="242" ht="23" customHeight="1">
      <x:c r="A242" s="2" t="str">
        <x:v>F005</x:v>
      </x:c>
      <x:c r="B242" s="2" t="str">
        <x:v>rerank10</x:v>
      </x:c>
      <x:c r="C242" s="2" t="str">
        <x:v>fact</x:v>
      </x:c>
      <x:c r="D242" s="2" t="str">
        <x:v>zh</x:v>
      </x:c>
      <x:c r="E242" s="2"/>
      <x:c r="F242" s="2" t="n">
        <x:v>1</x:v>
      </x:c>
      <x:c r="G242" s="2" t="n">
        <x:v>0</x:v>
      </x:c>
      <x:c r="H242" s="2" t="n">
        <x:v>1</x:v>
      </x:c>
      <x:c r="I242" s="2" t="n">
        <x:v>0</x:v>
      </x:c>
      <x:c r="J242" s="7" t="n">
        <x:v>3.0991500000018277</x:v>
      </x:c>
      <x:c r="K242" s="7" t="n">
        <x:f>IF(G242&gt;0,1,0)</x:f>
        <x:v>0</x:v>
      </x:c>
      <x:c r="L242" s="7" t="n">
        <x:f>IF(E242="",0,1/E242)</x:f>
        <x:v>0</x:v>
      </x:c>
      <x:c r="M242" s="7" t="n">
        <x:f>G242/F242</x:f>
        <x:v>0</x:v>
      </x:c>
      <x:c r="N242" s="7" t="n">
        <x:f>I242/H242</x:f>
        <x:v>0</x:v>
      </x:c>
      <x:c r="O242" s="7" t="n">
        <x:f>IF(I242=H242,1,0)</x:f>
        <x:v>0</x:v>
      </x:c>
    </x:row>
    <x:row r="243" ht="23" customHeight="1">
      <x:c r="A243" s="2" t="str">
        <x:v>F005</x:v>
      </x:c>
      <x:c r="B243" s="2" t="str">
        <x:v>rerank40</x:v>
      </x:c>
      <x:c r="C243" s="2" t="str">
        <x:v>fact</x:v>
      </x:c>
      <x:c r="D243" s="2" t="str">
        <x:v>zh</x:v>
      </x:c>
      <x:c r="E243" s="2"/>
      <x:c r="F243" s="2" t="n">
        <x:v>1</x:v>
      </x:c>
      <x:c r="G243" s="2" t="n">
        <x:v>0</x:v>
      </x:c>
      <x:c r="H243" s="2" t="n">
        <x:v>1</x:v>
      </x:c>
      <x:c r="I243" s="2" t="n">
        <x:v>0</x:v>
      </x:c>
      <x:c r="J243" s="7" t="n">
        <x:v>13.41137819999858</x:v>
      </x:c>
      <x:c r="K243" s="7" t="n">
        <x:f>IF(G243&gt;0,1,0)</x:f>
        <x:v>0</x:v>
      </x:c>
      <x:c r="L243" s="7" t="n">
        <x:f>IF(E243="",0,1/E243)</x:f>
        <x:v>0</x:v>
      </x:c>
      <x:c r="M243" s="7" t="n">
        <x:f>G243/F243</x:f>
        <x:v>0</x:v>
      </x:c>
      <x:c r="N243" s="7" t="n">
        <x:f>I243/H243</x:f>
        <x:v>0</x:v>
      </x:c>
      <x:c r="O243" s="7" t="n">
        <x:f>IF(I243=H243,1,0)</x:f>
        <x:v>0</x:v>
      </x:c>
    </x:row>
    <x:row r="244" ht="23" customHeight="1">
      <x:c r="A244" s="2" t="str">
        <x:v>F005</x:v>
      </x:c>
      <x:c r="B244" s="2" t="str">
        <x:v>vector</x:v>
      </x:c>
      <x:c r="C244" s="2" t="str">
        <x:v>fact</x:v>
      </x:c>
      <x:c r="D244" s="2" t="str">
        <x:v>zh</x:v>
      </x:c>
      <x:c r="E244" s="2"/>
      <x:c r="F244" s="2" t="n">
        <x:v>1</x:v>
      </x:c>
      <x:c r="G244" s="2" t="n">
        <x:v>0</x:v>
      </x:c>
      <x:c r="H244" s="2" t="n">
        <x:v>1</x:v>
      </x:c>
      <x:c r="I244" s="2" t="n">
        <x:v>0</x:v>
      </x:c>
      <x:c r="J244" s="7" t="n">
        <x:v>0.06344990000070538</x:v>
      </x:c>
      <x:c r="K244" s="7" t="n">
        <x:f>IF(G244&gt;0,1,0)</x:f>
        <x:v>0</x:v>
      </x:c>
      <x:c r="L244" s="7" t="n">
        <x:f>IF(E244="",0,1/E244)</x:f>
        <x:v>0</x:v>
      </x:c>
      <x:c r="M244" s="7" t="n">
        <x:f>G244/F244</x:f>
        <x:v>0</x:v>
      </x:c>
      <x:c r="N244" s="7" t="n">
        <x:f>I244/H244</x:f>
        <x:v>0</x:v>
      </x:c>
      <x:c r="O244" s="7" t="n">
        <x:f>IF(I244=H244,1,0)</x:f>
        <x:v>0</x:v>
      </x:c>
    </x:row>
    <x:row r="245" ht="23" customHeight="1">
      <x:c r="A245" s="2" t="str">
        <x:v>F005</x:v>
      </x:c>
      <x:c r="B245" s="2" t="str">
        <x:v>hybrid</x:v>
      </x:c>
      <x:c r="C245" s="2" t="str">
        <x:v>fact</x:v>
      </x:c>
      <x:c r="D245" s="2" t="str">
        <x:v>zh</x:v>
      </x:c>
      <x:c r="E245" s="2"/>
      <x:c r="F245" s="2" t="n">
        <x:v>1</x:v>
      </x:c>
      <x:c r="G245" s="2" t="n">
        <x:v>0</x:v>
      </x:c>
      <x:c r="H245" s="2" t="n">
        <x:v>1</x:v>
      </x:c>
      <x:c r="I245" s="2" t="n">
        <x:v>0</x:v>
      </x:c>
      <x:c r="J245" s="7" t="n">
        <x:v>0.1566805000002205</x:v>
      </x:c>
      <x:c r="K245" s="7" t="n">
        <x:f>IF(G245&gt;0,1,0)</x:f>
        <x:v>0</x:v>
      </x:c>
      <x:c r="L245" s="7" t="n">
        <x:f>IF(E245="",0,1/E245)</x:f>
        <x:v>0</x:v>
      </x:c>
      <x:c r="M245" s="7" t="n">
        <x:f>G245/F245</x:f>
        <x:v>0</x:v>
      </x:c>
      <x:c r="N245" s="7" t="n">
        <x:f>I245/H245</x:f>
        <x:v>0</x:v>
      </x:c>
      <x:c r="O245" s="7" t="n">
        <x:f>IF(I245=H245,1,0)</x:f>
        <x:v>0</x:v>
      </x:c>
    </x:row>
    <x:row r="246" ht="23" customHeight="1">
      <x:c r="A246" s="2" t="str">
        <x:v>F005</x:v>
      </x:c>
      <x:c r="B246" s="2" t="str">
        <x:v>rerank20</x:v>
      </x:c>
      <x:c r="C246" s="2" t="str">
        <x:v>fact</x:v>
      </x:c>
      <x:c r="D246" s="2" t="str">
        <x:v>zh</x:v>
      </x:c>
      <x:c r="E246" s="2"/>
      <x:c r="F246" s="2" t="n">
        <x:v>1</x:v>
      </x:c>
      <x:c r="G246" s="2" t="n">
        <x:v>0</x:v>
      </x:c>
      <x:c r="H246" s="2" t="n">
        <x:v>1</x:v>
      </x:c>
      <x:c r="I246" s="2" t="n">
        <x:v>0</x:v>
      </x:c>
      <x:c r="J246" s="7" t="n">
        <x:v>7.13521259999834</x:v>
      </x:c>
      <x:c r="K246" s="7" t="n">
        <x:f>IF(G246&gt;0,1,0)</x:f>
        <x:v>0</x:v>
      </x:c>
      <x:c r="L246" s="7" t="n">
        <x:f>IF(E246="",0,1/E246)</x:f>
        <x:v>0</x:v>
      </x:c>
      <x:c r="M246" s="7" t="n">
        <x:f>G246/F246</x:f>
        <x:v>0</x:v>
      </x:c>
      <x:c r="N246" s="7" t="n">
        <x:f>I246/H246</x:f>
        <x:v>0</x:v>
      </x:c>
      <x:c r="O246" s="7" t="n">
        <x:f>IF(I246=H246,1,0)</x:f>
        <x:v>0</x:v>
      </x:c>
    </x:row>
    <x:row r="247" ht="23" customHeight="1">
      <x:c r="A247" s="2" t="str">
        <x:v>F014</x:v>
      </x:c>
      <x:c r="B247" s="2" t="str">
        <x:v>rerank40</x:v>
      </x:c>
      <x:c r="C247" s="2" t="str">
        <x:v>fact</x:v>
      </x:c>
      <x:c r="D247" s="2" t="str">
        <x:v>en</x:v>
      </x:c>
      <x:c r="E247" s="2"/>
      <x:c r="F247" s="2" t="n">
        <x:v>1</x:v>
      </x:c>
      <x:c r="G247" s="2" t="n">
        <x:v>0</x:v>
      </x:c>
      <x:c r="H247" s="2" t="n">
        <x:v>1</x:v>
      </x:c>
      <x:c r="I247" s="2" t="n">
        <x:v>0</x:v>
      </x:c>
      <x:c r="J247" s="7" t="n">
        <x:v>9.215795600001002</x:v>
      </x:c>
      <x:c r="K247" s="7" t="n">
        <x:f>IF(G247&gt;0,1,0)</x:f>
        <x:v>0</x:v>
      </x:c>
      <x:c r="L247" s="7" t="n">
        <x:f>IF(E247="",0,1/E247)</x:f>
        <x:v>0</x:v>
      </x:c>
      <x:c r="M247" s="7" t="n">
        <x:f>G247/F247</x:f>
        <x:v>0</x:v>
      </x:c>
      <x:c r="N247" s="7" t="n">
        <x:f>I247/H247</x:f>
        <x:v>0</x:v>
      </x:c>
      <x:c r="O247" s="7" t="n">
        <x:f>IF(I247=H247,1,0)</x:f>
        <x:v>0</x:v>
      </x:c>
    </x:row>
    <x:row r="248" ht="23" customHeight="1">
      <x:c r="A248" s="2" t="str">
        <x:v>F014</x:v>
      </x:c>
      <x:c r="B248" s="2" t="str">
        <x:v>vector</x:v>
      </x:c>
      <x:c r="C248" s="2" t="str">
        <x:v>fact</x:v>
      </x:c>
      <x:c r="D248" s="2" t="str">
        <x:v>en</x:v>
      </x:c>
      <x:c r="E248" s="2"/>
      <x:c r="F248" s="2" t="n">
        <x:v>1</x:v>
      </x:c>
      <x:c r="G248" s="2" t="n">
        <x:v>0</x:v>
      </x:c>
      <x:c r="H248" s="2" t="n">
        <x:v>1</x:v>
      </x:c>
      <x:c r="I248" s="2" t="n">
        <x:v>0</x:v>
      </x:c>
      <x:c r="J248" s="7" t="n">
        <x:v>0.08427650000157882</x:v>
      </x:c>
      <x:c r="K248" s="7" t="n">
        <x:f>IF(G248&gt;0,1,0)</x:f>
        <x:v>0</x:v>
      </x:c>
      <x:c r="L248" s="7" t="n">
        <x:f>IF(E248="",0,1/E248)</x:f>
        <x:v>0</x:v>
      </x:c>
      <x:c r="M248" s="7" t="n">
        <x:f>G248/F248</x:f>
        <x:v>0</x:v>
      </x:c>
      <x:c r="N248" s="7" t="n">
        <x:f>I248/H248</x:f>
        <x:v>0</x:v>
      </x:c>
      <x:c r="O248" s="7" t="n">
        <x:f>IF(I248=H248,1,0)</x:f>
        <x:v>0</x:v>
      </x:c>
    </x:row>
    <x:row r="249" ht="23" customHeight="1">
      <x:c r="A249" s="2" t="str">
        <x:v>F014</x:v>
      </x:c>
      <x:c r="B249" s="2" t="str">
        <x:v>hybrid</x:v>
      </x:c>
      <x:c r="C249" s="2" t="str">
        <x:v>fact</x:v>
      </x:c>
      <x:c r="D249" s="2" t="str">
        <x:v>en</x:v>
      </x:c>
      <x:c r="E249" s="2" t="n">
        <x:v>2</x:v>
      </x:c>
      <x:c r="F249" s="2" t="n">
        <x:v>1</x:v>
      </x:c>
      <x:c r="G249" s="2" t="n">
        <x:v>1</x:v>
      </x:c>
      <x:c r="H249" s="2" t="n">
        <x:v>1</x:v>
      </x:c>
      <x:c r="I249" s="2" t="n">
        <x:v>1</x:v>
      </x:c>
      <x:c r="J249" s="7" t="n">
        <x:v>0.16319840000141994</x:v>
      </x:c>
      <x:c r="K249" s="7" t="n">
        <x:f>IF(G249&gt;0,1,0)</x:f>
        <x:v>1</x:v>
      </x:c>
      <x:c r="L249" s="7" t="n">
        <x:f>IF(E249="",0,1/E249)</x:f>
        <x:v>0.5</x:v>
      </x:c>
      <x:c r="M249" s="7" t="n">
        <x:f>G249/F249</x:f>
        <x:v>1</x:v>
      </x:c>
      <x:c r="N249" s="7" t="n">
        <x:f>I249/H249</x:f>
        <x:v>1</x:v>
      </x:c>
      <x:c r="O249" s="7" t="n">
        <x:f>IF(I249=H249,1,0)</x:f>
        <x:v>1</x:v>
      </x:c>
    </x:row>
    <x:row r="250" ht="23" customHeight="1">
      <x:c r="A250" s="2" t="str">
        <x:v>F014</x:v>
      </x:c>
      <x:c r="B250" s="2" t="str">
        <x:v>rerank20</x:v>
      </x:c>
      <x:c r="C250" s="2" t="str">
        <x:v>fact</x:v>
      </x:c>
      <x:c r="D250" s="2" t="str">
        <x:v>en</x:v>
      </x:c>
      <x:c r="E250" s="2" t="n">
        <x:v>5</x:v>
      </x:c>
      <x:c r="F250" s="2" t="n">
        <x:v>1</x:v>
      </x:c>
      <x:c r="G250" s="2" t="n">
        <x:v>1</x:v>
      </x:c>
      <x:c r="H250" s="2" t="n">
        <x:v>1</x:v>
      </x:c>
      <x:c r="I250" s="2" t="n">
        <x:v>1</x:v>
      </x:c>
      <x:c r="J250" s="7" t="n">
        <x:v>4.967502499999682</x:v>
      </x:c>
      <x:c r="K250" s="7" t="n">
        <x:f>IF(G250&gt;0,1,0)</x:f>
        <x:v>1</x:v>
      </x:c>
      <x:c r="L250" s="7" t="n">
        <x:f>IF(E250="",0,1/E250)</x:f>
        <x:v>0.2</x:v>
      </x:c>
      <x:c r="M250" s="7" t="n">
        <x:f>G250/F250</x:f>
        <x:v>1</x:v>
      </x:c>
      <x:c r="N250" s="7" t="n">
        <x:f>I250/H250</x:f>
        <x:v>1</x:v>
      </x:c>
      <x:c r="O250" s="7" t="n">
        <x:f>IF(I250=H250,1,0)</x:f>
        <x:v>1</x:v>
      </x:c>
    </x:row>
    <x:row r="251" ht="23" customHeight="1">
      <x:c r="A251" s="2" t="str">
        <x:v>F014</x:v>
      </x:c>
      <x:c r="B251" s="2" t="str">
        <x:v>rerank10</x:v>
      </x:c>
      <x:c r="C251" s="2" t="str">
        <x:v>fact</x:v>
      </x:c>
      <x:c r="D251" s="2" t="str">
        <x:v>en</x:v>
      </x:c>
      <x:c r="E251" s="2" t="n">
        <x:v>5</x:v>
      </x:c>
      <x:c r="F251" s="2" t="n">
        <x:v>1</x:v>
      </x:c>
      <x:c r="G251" s="2" t="n">
        <x:v>1</x:v>
      </x:c>
      <x:c r="H251" s="2" t="n">
        <x:v>1</x:v>
      </x:c>
      <x:c r="I251" s="2" t="n">
        <x:v>1</x:v>
      </x:c>
      <x:c r="J251" s="7" t="n">
        <x:v>2.051131500000338</x:v>
      </x:c>
      <x:c r="K251" s="7" t="n">
        <x:f>IF(G251&gt;0,1,0)</x:f>
        <x:v>1</x:v>
      </x:c>
      <x:c r="L251" s="7" t="n">
        <x:f>IF(E251="",0,1/E251)</x:f>
        <x:v>0.2</x:v>
      </x:c>
      <x:c r="M251" s="7" t="n">
        <x:f>G251/F251</x:f>
        <x:v>1</x:v>
      </x:c>
      <x:c r="N251" s="7" t="n">
        <x:f>I251/H251</x:f>
        <x:v>1</x:v>
      </x:c>
      <x:c r="O251" s="7" t="n">
        <x:f>IF(I251=H251,1,0)</x:f>
        <x:v>1</x:v>
      </x:c>
    </x:row>
    <x:row r="252" ht="23" customHeight="1">
      <x:c r="A252" s="2" t="str">
        <x:v>S011</x:v>
      </x:c>
      <x:c r="B252" s="2" t="str">
        <x:v>vector</x:v>
      </x:c>
      <x:c r="C252" s="2" t="str">
        <x:v>synthesis</x:v>
      </x:c>
      <x:c r="D252" s="2" t="str">
        <x:v>zh</x:v>
      </x:c>
      <x:c r="E252" s="2"/>
      <x:c r="F252" s="2" t="n">
        <x:v>4</x:v>
      </x:c>
      <x:c r="G252" s="2" t="n">
        <x:v>0</x:v>
      </x:c>
      <x:c r="H252" s="2" t="n">
        <x:v>3</x:v>
      </x:c>
      <x:c r="I252" s="2" t="n">
        <x:v>0</x:v>
      </x:c>
      <x:c r="J252" s="7" t="n">
        <x:v>0.09613529999842285</x:v>
      </x:c>
      <x:c r="K252" s="7" t="n">
        <x:f>IF(G252&gt;0,1,0)</x:f>
        <x:v>0</x:v>
      </x:c>
      <x:c r="L252" s="7" t="n">
        <x:f>IF(E252="",0,1/E252)</x:f>
        <x:v>0</x:v>
      </x:c>
      <x:c r="M252" s="7" t="n">
        <x:f>G252/F252</x:f>
        <x:v>0</x:v>
      </x:c>
      <x:c r="N252" s="7" t="n">
        <x:f>I252/H252</x:f>
        <x:v>0</x:v>
      </x:c>
      <x:c r="O252" s="7" t="n">
        <x:f>IF(I252=H252,1,0)</x:f>
        <x:v>0</x:v>
      </x:c>
    </x:row>
    <x:row r="253" ht="23" customHeight="1">
      <x:c r="A253" s="2" t="str">
        <x:v>S011</x:v>
      </x:c>
      <x:c r="B253" s="2" t="str">
        <x:v>hybrid</x:v>
      </x:c>
      <x:c r="C253" s="2" t="str">
        <x:v>synthesis</x:v>
      </x:c>
      <x:c r="D253" s="2" t="str">
        <x:v>zh</x:v>
      </x:c>
      <x:c r="E253" s="2"/>
      <x:c r="F253" s="2" t="n">
        <x:v>4</x:v>
      </x:c>
      <x:c r="G253" s="2" t="n">
        <x:v>0</x:v>
      </x:c>
      <x:c r="H253" s="2" t="n">
        <x:v>3</x:v>
      </x:c>
      <x:c r="I253" s="2" t="n">
        <x:v>0</x:v>
      </x:c>
      <x:c r="J253" s="7" t="n">
        <x:v>0.164510300000984</x:v>
      </x:c>
      <x:c r="K253" s="7" t="n">
        <x:f>IF(G253&gt;0,1,0)</x:f>
        <x:v>0</x:v>
      </x:c>
      <x:c r="L253" s="7" t="n">
        <x:f>IF(E253="",0,1/E253)</x:f>
        <x:v>0</x:v>
      </x:c>
      <x:c r="M253" s="7" t="n">
        <x:f>G253/F253</x:f>
        <x:v>0</x:v>
      </x:c>
      <x:c r="N253" s="7" t="n">
        <x:f>I253/H253</x:f>
        <x:v>0</x:v>
      </x:c>
      <x:c r="O253" s="7" t="n">
        <x:f>IF(I253=H253,1,0)</x:f>
        <x:v>0</x:v>
      </x:c>
    </x:row>
    <x:row r="254" ht="23" customHeight="1">
      <x:c r="A254" s="2" t="str">
        <x:v>S011</x:v>
      </x:c>
      <x:c r="B254" s="2" t="str">
        <x:v>rerank20</x:v>
      </x:c>
      <x:c r="C254" s="2" t="str">
        <x:v>synthesis</x:v>
      </x:c>
      <x:c r="D254" s="2" t="str">
        <x:v>zh</x:v>
      </x:c>
      <x:c r="E254" s="2"/>
      <x:c r="F254" s="2" t="n">
        <x:v>4</x:v>
      </x:c>
      <x:c r="G254" s="2" t="n">
        <x:v>0</x:v>
      </x:c>
      <x:c r="H254" s="2" t="n">
        <x:v>3</x:v>
      </x:c>
      <x:c r="I254" s="2" t="n">
        <x:v>0</x:v>
      </x:c>
      <x:c r="J254" s="7" t="n">
        <x:v>5.100283600000694</x:v>
      </x:c>
      <x:c r="K254" s="7" t="n">
        <x:f>IF(G254&gt;0,1,0)</x:f>
        <x:v>0</x:v>
      </x:c>
      <x:c r="L254" s="7" t="n">
        <x:f>IF(E254="",0,1/E254)</x:f>
        <x:v>0</x:v>
      </x:c>
      <x:c r="M254" s="7" t="n">
        <x:f>G254/F254</x:f>
        <x:v>0</x:v>
      </x:c>
      <x:c r="N254" s="7" t="n">
        <x:f>I254/H254</x:f>
        <x:v>0</x:v>
      </x:c>
      <x:c r="O254" s="7" t="n">
        <x:f>IF(I254=H254,1,0)</x:f>
        <x:v>0</x:v>
      </x:c>
    </x:row>
    <x:row r="255" ht="23" customHeight="1">
      <x:c r="A255" s="2" t="str">
        <x:v>S011</x:v>
      </x:c>
      <x:c r="B255" s="2" t="str">
        <x:v>rerank10</x:v>
      </x:c>
      <x:c r="C255" s="2" t="str">
        <x:v>synthesis</x:v>
      </x:c>
      <x:c r="D255" s="2" t="str">
        <x:v>zh</x:v>
      </x:c>
      <x:c r="E255" s="2"/>
      <x:c r="F255" s="2" t="n">
        <x:v>4</x:v>
      </x:c>
      <x:c r="G255" s="2" t="n">
        <x:v>0</x:v>
      </x:c>
      <x:c r="H255" s="2" t="n">
        <x:v>3</x:v>
      </x:c>
      <x:c r="I255" s="2" t="n">
        <x:v>0</x:v>
      </x:c>
      <x:c r="J255" s="7" t="n">
        <x:v>2.676187500001106</x:v>
      </x:c>
      <x:c r="K255" s="7" t="n">
        <x:f>IF(G255&gt;0,1,0)</x:f>
        <x:v>0</x:v>
      </x:c>
      <x:c r="L255" s="7" t="n">
        <x:f>IF(E255="",0,1/E255)</x:f>
        <x:v>0</x:v>
      </x:c>
      <x:c r="M255" s="7" t="n">
        <x:f>G255/F255</x:f>
        <x:v>0</x:v>
      </x:c>
      <x:c r="N255" s="7" t="n">
        <x:f>I255/H255</x:f>
        <x:v>0</x:v>
      </x:c>
      <x:c r="O255" s="7" t="n">
        <x:f>IF(I255=H255,1,0)</x:f>
        <x:v>0</x:v>
      </x:c>
    </x:row>
    <x:row r="256" ht="23" customHeight="1">
      <x:c r="A256" s="2" t="str">
        <x:v>S011</x:v>
      </x:c>
      <x:c r="B256" s="2" t="str">
        <x:v>rerank40</x:v>
      </x:c>
      <x:c r="C256" s="2" t="str">
        <x:v>synthesis</x:v>
      </x:c>
      <x:c r="D256" s="2" t="str">
        <x:v>zh</x:v>
      </x:c>
      <x:c r="E256" s="2"/>
      <x:c r="F256" s="2" t="n">
        <x:v>4</x:v>
      </x:c>
      <x:c r="G256" s="2" t="n">
        <x:v>0</x:v>
      </x:c>
      <x:c r="H256" s="2" t="n">
        <x:v>3</x:v>
      </x:c>
      <x:c r="I256" s="2" t="n">
        <x:v>0</x:v>
      </x:c>
      <x:c r="J256" s="7" t="n">
        <x:v>14.316646399998717</x:v>
      </x:c>
      <x:c r="K256" s="7" t="n">
        <x:f>IF(G256&gt;0,1,0)</x:f>
        <x:v>0</x:v>
      </x:c>
      <x:c r="L256" s="7" t="n">
        <x:f>IF(E256="",0,1/E256)</x:f>
        <x:v>0</x:v>
      </x:c>
      <x:c r="M256" s="7" t="n">
        <x:f>G256/F256</x:f>
        <x:v>0</x:v>
      </x:c>
      <x:c r="N256" s="7" t="n">
        <x:f>I256/H256</x:f>
        <x:v>0</x:v>
      </x:c>
      <x:c r="O256" s="7" t="n">
        <x:f>IF(I256=H256,1,0)</x:f>
        <x:v>0</x:v>
      </x:c>
    </x:row>
    <x:row r="257" ht="23" customHeight="1">
      <x:c r="A257" s="2" t="str">
        <x:v>S008</x:v>
      </x:c>
      <x:c r="B257" s="2" t="str">
        <x:v>hybrid</x:v>
      </x:c>
      <x:c r="C257" s="2" t="str">
        <x:v>synthesis</x:v>
      </x:c>
      <x:c r="D257" s="2" t="str">
        <x:v>en</x:v>
      </x:c>
      <x:c r="E257" s="2"/>
      <x:c r="F257" s="2" t="n">
        <x:v>3</x:v>
      </x:c>
      <x:c r="G257" s="2" t="n">
        <x:v>0</x:v>
      </x:c>
      <x:c r="H257" s="2" t="n">
        <x:v>3</x:v>
      </x:c>
      <x:c r="I257" s="2" t="n">
        <x:v>0</x:v>
      </x:c>
      <x:c r="J257" s="7" t="n">
        <x:v>0.18998939999801223</x:v>
      </x:c>
      <x:c r="K257" s="7" t="n">
        <x:f>IF(G257&gt;0,1,0)</x:f>
        <x:v>0</x:v>
      </x:c>
      <x:c r="L257" s="7" t="n">
        <x:f>IF(E257="",0,1/E257)</x:f>
        <x:v>0</x:v>
      </x:c>
      <x:c r="M257" s="7" t="n">
        <x:f>G257/F257</x:f>
        <x:v>0</x:v>
      </x:c>
      <x:c r="N257" s="7" t="n">
        <x:f>I257/H257</x:f>
        <x:v>0</x:v>
      </x:c>
      <x:c r="O257" s="7" t="n">
        <x:f>IF(I257=H257,1,0)</x:f>
        <x:v>0</x:v>
      </x:c>
    </x:row>
    <x:row r="258" ht="23" customHeight="1">
      <x:c r="A258" s="2" t="str">
        <x:v>S008</x:v>
      </x:c>
      <x:c r="B258" s="2" t="str">
        <x:v>rerank20</x:v>
      </x:c>
      <x:c r="C258" s="2" t="str">
        <x:v>synthesis</x:v>
      </x:c>
      <x:c r="D258" s="2" t="str">
        <x:v>en</x:v>
      </x:c>
      <x:c r="E258" s="2"/>
      <x:c r="F258" s="2" t="n">
        <x:v>3</x:v>
      </x:c>
      <x:c r="G258" s="2" t="n">
        <x:v>0</x:v>
      </x:c>
      <x:c r="H258" s="2" t="n">
        <x:v>3</x:v>
      </x:c>
      <x:c r="I258" s="2" t="n">
        <x:v>0</x:v>
      </x:c>
      <x:c r="J258" s="7" t="n">
        <x:v>10.027129800000694</x:v>
      </x:c>
      <x:c r="K258" s="7" t="n">
        <x:f>IF(G258&gt;0,1,0)</x:f>
        <x:v>0</x:v>
      </x:c>
      <x:c r="L258" s="7" t="n">
        <x:f>IF(E258="",0,1/E258)</x:f>
        <x:v>0</x:v>
      </x:c>
      <x:c r="M258" s="7" t="n">
        <x:f>G258/F258</x:f>
        <x:v>0</x:v>
      </x:c>
      <x:c r="N258" s="7" t="n">
        <x:f>I258/H258</x:f>
        <x:v>0</x:v>
      </x:c>
      <x:c r="O258" s="7" t="n">
        <x:f>IF(I258=H258,1,0)</x:f>
        <x:v>0</x:v>
      </x:c>
    </x:row>
    <x:row r="259" ht="23" customHeight="1">
      <x:c r="A259" s="2" t="str">
        <x:v>S008</x:v>
      </x:c>
      <x:c r="B259" s="2" t="str">
        <x:v>rerank10</x:v>
      </x:c>
      <x:c r="C259" s="2" t="str">
        <x:v>synthesis</x:v>
      </x:c>
      <x:c r="D259" s="2" t="str">
        <x:v>en</x:v>
      </x:c>
      <x:c r="E259" s="2"/>
      <x:c r="F259" s="2" t="n">
        <x:v>3</x:v>
      </x:c>
      <x:c r="G259" s="2" t="n">
        <x:v>0</x:v>
      </x:c>
      <x:c r="H259" s="2" t="n">
        <x:v>3</x:v>
      </x:c>
      <x:c r="I259" s="2" t="n">
        <x:v>0</x:v>
      </x:c>
      <x:c r="J259" s="7" t="n">
        <x:v>7.023217400001158</x:v>
      </x:c>
      <x:c r="K259" s="7" t="n">
        <x:f>IF(G259&gt;0,1,0)</x:f>
        <x:v>0</x:v>
      </x:c>
      <x:c r="L259" s="7" t="n">
        <x:f>IF(E259="",0,1/E259)</x:f>
        <x:v>0</x:v>
      </x:c>
      <x:c r="M259" s="7" t="n">
        <x:f>G259/F259</x:f>
        <x:v>0</x:v>
      </x:c>
      <x:c r="N259" s="7" t="n">
        <x:f>I259/H259</x:f>
        <x:v>0</x:v>
      </x:c>
      <x:c r="O259" s="7" t="n">
        <x:f>IF(I259=H259,1,0)</x:f>
        <x:v>0</x:v>
      </x:c>
    </x:row>
    <x:row r="260" ht="23" customHeight="1">
      <x:c r="A260" s="2" t="str">
        <x:v>S008</x:v>
      </x:c>
      <x:c r="B260" s="2" t="str">
        <x:v>rerank40</x:v>
      </x:c>
      <x:c r="C260" s="2" t="str">
        <x:v>synthesis</x:v>
      </x:c>
      <x:c r="D260" s="2" t="str">
        <x:v>en</x:v>
      </x:c>
      <x:c r="E260" s="2"/>
      <x:c r="F260" s="2" t="n">
        <x:v>3</x:v>
      </x:c>
      <x:c r="G260" s="2" t="n">
        <x:v>0</x:v>
      </x:c>
      <x:c r="H260" s="2" t="n">
        <x:v>3</x:v>
      </x:c>
      <x:c r="I260" s="2" t="n">
        <x:v>0</x:v>
      </x:c>
      <x:c r="J260" s="7" t="n">
        <x:v>16.290489900002285</x:v>
      </x:c>
      <x:c r="K260" s="7" t="n">
        <x:f>IF(G260&gt;0,1,0)</x:f>
        <x:v>0</x:v>
      </x:c>
      <x:c r="L260" s="7" t="n">
        <x:f>IF(E260="",0,1/E260)</x:f>
        <x:v>0</x:v>
      </x:c>
      <x:c r="M260" s="7" t="n">
        <x:f>G260/F260</x:f>
        <x:v>0</x:v>
      </x:c>
      <x:c r="N260" s="7" t="n">
        <x:f>I260/H260</x:f>
        <x:v>0</x:v>
      </x:c>
      <x:c r="O260" s="7" t="n">
        <x:f>IF(I260=H260,1,0)</x:f>
        <x:v>0</x:v>
      </x:c>
    </x:row>
    <x:row r="261" ht="23" customHeight="1">
      <x:c r="A261" s="2" t="str">
        <x:v>S008</x:v>
      </x:c>
      <x:c r="B261" s="2" t="str">
        <x:v>vector</x:v>
      </x:c>
      <x:c r="C261" s="2" t="str">
        <x:v>synthesis</x:v>
      </x:c>
      <x:c r="D261" s="2" t="str">
        <x:v>en</x:v>
      </x:c>
      <x:c r="E261" s="2"/>
      <x:c r="F261" s="2" t="n">
        <x:v>3</x:v>
      </x:c>
      <x:c r="G261" s="2" t="n">
        <x:v>0</x:v>
      </x:c>
      <x:c r="H261" s="2" t="n">
        <x:v>3</x:v>
      </x:c>
      <x:c r="I261" s="2" t="n">
        <x:v>0</x:v>
      </x:c>
      <x:c r="J261" s="7" t="n">
        <x:v>0.09634390000064741</x:v>
      </x:c>
      <x:c r="K261" s="7" t="n">
        <x:f>IF(G261&gt;0,1,0)</x:f>
        <x:v>0</x:v>
      </x:c>
      <x:c r="L261" s="7" t="n">
        <x:f>IF(E261="",0,1/E261)</x:f>
        <x:v>0</x:v>
      </x:c>
      <x:c r="M261" s="7" t="n">
        <x:f>G261/F261</x:f>
        <x:v>0</x:v>
      </x:c>
      <x:c r="N261" s="7" t="n">
        <x:f>I261/H261</x:f>
        <x:v>0</x:v>
      </x:c>
      <x:c r="O261" s="7" t="n">
        <x:f>IF(I261=H261,1,0)</x:f>
        <x:v>0</x:v>
      </x:c>
    </x:row>
    <x:row r="262" ht="23" customHeight="1">
      <x:c r="A262" s="2" t="str">
        <x:v>S012</x:v>
      </x:c>
      <x:c r="B262" s="2" t="str">
        <x:v>rerank20</x:v>
      </x:c>
      <x:c r="C262" s="2" t="str">
        <x:v>synthesis</x:v>
      </x:c>
      <x:c r="D262" s="2" t="str">
        <x:v>en</x:v>
      </x:c>
      <x:c r="E262" s="2" t="n">
        <x:v>2</x:v>
      </x:c>
      <x:c r="F262" s="2" t="n">
        <x:v>2</x:v>
      </x:c>
      <x:c r="G262" s="2" t="n">
        <x:v>1</x:v>
      </x:c>
      <x:c r="H262" s="2" t="n">
        <x:v>2</x:v>
      </x:c>
      <x:c r="I262" s="2" t="n">
        <x:v>1</x:v>
      </x:c>
      <x:c r="J262" s="7" t="n">
        <x:v>6.013242400000308</x:v>
      </x:c>
      <x:c r="K262" s="7" t="n">
        <x:f>IF(G262&gt;0,1,0)</x:f>
        <x:v>1</x:v>
      </x:c>
      <x:c r="L262" s="7" t="n">
        <x:f>IF(E262="",0,1/E262)</x:f>
        <x:v>0.5</x:v>
      </x:c>
      <x:c r="M262" s="7" t="n">
        <x:f>G262/F262</x:f>
        <x:v>0.5</x:v>
      </x:c>
      <x:c r="N262" s="7" t="n">
        <x:f>I262/H262</x:f>
        <x:v>0.5</x:v>
      </x:c>
      <x:c r="O262" s="7" t="n">
        <x:f>IF(I262=H262,1,0)</x:f>
        <x:v>0</x:v>
      </x:c>
    </x:row>
    <x:row r="263" ht="23" customHeight="1">
      <x:c r="A263" s="2" t="str">
        <x:v>S012</x:v>
      </x:c>
      <x:c r="B263" s="2" t="str">
        <x:v>rerank10</x:v>
      </x:c>
      <x:c r="C263" s="2" t="str">
        <x:v>synthesis</x:v>
      </x:c>
      <x:c r="D263" s="2" t="str">
        <x:v>en</x:v>
      </x:c>
      <x:c r="E263" s="2"/>
      <x:c r="F263" s="2" t="n">
        <x:v>2</x:v>
      </x:c>
      <x:c r="G263" s="2" t="n">
        <x:v>0</x:v>
      </x:c>
      <x:c r="H263" s="2" t="n">
        <x:v>2</x:v>
      </x:c>
      <x:c r="I263" s="2" t="n">
        <x:v>0</x:v>
      </x:c>
      <x:c r="J263" s="7" t="n">
        <x:v>2.7475440000016533</x:v>
      </x:c>
      <x:c r="K263" s="7" t="n">
        <x:f>IF(G263&gt;0,1,0)</x:f>
        <x:v>0</x:v>
      </x:c>
      <x:c r="L263" s="7" t="n">
        <x:f>IF(E263="",0,1/E263)</x:f>
        <x:v>0</x:v>
      </x:c>
      <x:c r="M263" s="7" t="n">
        <x:f>G263/F263</x:f>
        <x:v>0</x:v>
      </x:c>
      <x:c r="N263" s="7" t="n">
        <x:f>I263/H263</x:f>
        <x:v>0</x:v>
      </x:c>
      <x:c r="O263" s="7" t="n">
        <x:f>IF(I263=H263,1,0)</x:f>
        <x:v>0</x:v>
      </x:c>
    </x:row>
    <x:row r="264" ht="23" customHeight="1">
      <x:c r="A264" s="2" t="str">
        <x:v>S012</x:v>
      </x:c>
      <x:c r="B264" s="2" t="str">
        <x:v>rerank40</x:v>
      </x:c>
      <x:c r="C264" s="2" t="str">
        <x:v>synthesis</x:v>
      </x:c>
      <x:c r="D264" s="2" t="str">
        <x:v>en</x:v>
      </x:c>
      <x:c r="E264" s="2" t="n">
        <x:v>2</x:v>
      </x:c>
      <x:c r="F264" s="2" t="n">
        <x:v>2</x:v>
      </x:c>
      <x:c r="G264" s="2" t="n">
        <x:v>1</x:v>
      </x:c>
      <x:c r="H264" s="2" t="n">
        <x:v>2</x:v>
      </x:c>
      <x:c r="I264" s="2" t="n">
        <x:v>1</x:v>
      </x:c>
      <x:c r="J264" s="7" t="n">
        <x:v>15.258898299998691</x:v>
      </x:c>
      <x:c r="K264" s="7" t="n">
        <x:f>IF(G264&gt;0,1,0)</x:f>
        <x:v>1</x:v>
      </x:c>
      <x:c r="L264" s="7" t="n">
        <x:f>IF(E264="",0,1/E264)</x:f>
        <x:v>0.5</x:v>
      </x:c>
      <x:c r="M264" s="7" t="n">
        <x:f>G264/F264</x:f>
        <x:v>0.5</x:v>
      </x:c>
      <x:c r="N264" s="7" t="n">
        <x:f>I264/H264</x:f>
        <x:v>0.5</x:v>
      </x:c>
      <x:c r="O264" s="7" t="n">
        <x:f>IF(I264=H264,1,0)</x:f>
        <x:v>0</x:v>
      </x:c>
    </x:row>
    <x:row r="265" ht="23" customHeight="1">
      <x:c r="A265" s="2" t="str">
        <x:v>S012</x:v>
      </x:c>
      <x:c r="B265" s="2" t="str">
        <x:v>vector</x:v>
      </x:c>
      <x:c r="C265" s="2" t="str">
        <x:v>synthesis</x:v>
      </x:c>
      <x:c r="D265" s="2" t="str">
        <x:v>en</x:v>
      </x:c>
      <x:c r="E265" s="2"/>
      <x:c r="F265" s="2" t="n">
        <x:v>2</x:v>
      </x:c>
      <x:c r="G265" s="2" t="n">
        <x:v>0</x:v>
      </x:c>
      <x:c r="H265" s="2" t="n">
        <x:v>2</x:v>
      </x:c>
      <x:c r="I265" s="2" t="n">
        <x:v>0</x:v>
      </x:c>
      <x:c r="J265" s="7" t="n">
        <x:v>0.08595730000160984</x:v>
      </x:c>
      <x:c r="K265" s="7" t="n">
        <x:f>IF(G265&gt;0,1,0)</x:f>
        <x:v>0</x:v>
      </x:c>
      <x:c r="L265" s="7" t="n">
        <x:f>IF(E265="",0,1/E265)</x:f>
        <x:v>0</x:v>
      </x:c>
      <x:c r="M265" s="7" t="n">
        <x:f>G265/F265</x:f>
        <x:v>0</x:v>
      </x:c>
      <x:c r="N265" s="7" t="n">
        <x:f>I265/H265</x:f>
        <x:v>0</x:v>
      </x:c>
      <x:c r="O265" s="7" t="n">
        <x:f>IF(I265=H265,1,0)</x:f>
        <x:v>0</x:v>
      </x:c>
    </x:row>
    <x:row r="266" ht="23" customHeight="1">
      <x:c r="A266" s="2" t="str">
        <x:v>S012</x:v>
      </x:c>
      <x:c r="B266" s="2" t="str">
        <x:v>hybrid</x:v>
      </x:c>
      <x:c r="C266" s="2" t="str">
        <x:v>synthesis</x:v>
      </x:c>
      <x:c r="D266" s="2" t="str">
        <x:v>en</x:v>
      </x:c>
      <x:c r="E266" s="2"/>
      <x:c r="F266" s="2" t="n">
        <x:v>2</x:v>
      </x:c>
      <x:c r="G266" s="2" t="n">
        <x:v>0</x:v>
      </x:c>
      <x:c r="H266" s="2" t="n">
        <x:v>2</x:v>
      </x:c>
      <x:c r="I266" s="2" t="n">
        <x:v>0</x:v>
      </x:c>
      <x:c r="J266" s="7" t="n">
        <x:v>0.16019869999945513</x:v>
      </x:c>
      <x:c r="K266" s="7" t="n">
        <x:f>IF(G266&gt;0,1,0)</x:f>
        <x:v>0</x:v>
      </x:c>
      <x:c r="L266" s="7" t="n">
        <x:f>IF(E266="",0,1/E266)</x:f>
        <x:v>0</x:v>
      </x:c>
      <x:c r="M266" s="7" t="n">
        <x:f>G266/F266</x:f>
        <x:v>0</x:v>
      </x:c>
      <x:c r="N266" s="7" t="n">
        <x:f>I266/H266</x:f>
        <x:v>0</x:v>
      </x:c>
      <x:c r="O266" s="7" t="n">
        <x:f>IF(I266=H266,1,0)</x:f>
        <x:v>0</x:v>
      </x:c>
    </x:row>
    <x:row r="267" ht="23" customHeight="1">
      <x:c r="A267" s="2" t="str">
        <x:v>C001</x:v>
      </x:c>
      <x:c r="B267" s="2" t="str">
        <x:v>rerank10</x:v>
      </x:c>
      <x:c r="C267" s="2" t="str">
        <x:v>comparison</x:v>
      </x:c>
      <x:c r="D267" s="2" t="str">
        <x:v>en</x:v>
      </x:c>
      <x:c r="E267" s="2"/>
      <x:c r="F267" s="2" t="n">
        <x:v>2</x:v>
      </x:c>
      <x:c r="G267" s="2" t="n">
        <x:v>0</x:v>
      </x:c>
      <x:c r="H267" s="2" t="n">
        <x:v>2</x:v>
      </x:c>
      <x:c r="I267" s="2" t="n">
        <x:v>0</x:v>
      </x:c>
      <x:c r="J267" s="7" t="n">
        <x:v>2.5576451000015368</x:v>
      </x:c>
      <x:c r="K267" s="7" t="n">
        <x:f>IF(G267&gt;0,1,0)</x:f>
        <x:v>0</x:v>
      </x:c>
      <x:c r="L267" s="7" t="n">
        <x:f>IF(E267="",0,1/E267)</x:f>
        <x:v>0</x:v>
      </x:c>
      <x:c r="M267" s="7" t="n">
        <x:f>G267/F267</x:f>
        <x:v>0</x:v>
      </x:c>
      <x:c r="N267" s="7" t="n">
        <x:f>I267/H267</x:f>
        <x:v>0</x:v>
      </x:c>
      <x:c r="O267" s="7" t="n">
        <x:f>IF(I267=H267,1,0)</x:f>
        <x:v>0</x:v>
      </x:c>
    </x:row>
    <x:row r="268" ht="23" customHeight="1">
      <x:c r="A268" s="2" t="str">
        <x:v>C001</x:v>
      </x:c>
      <x:c r="B268" s="2" t="str">
        <x:v>rerank40</x:v>
      </x:c>
      <x:c r="C268" s="2" t="str">
        <x:v>comparison</x:v>
      </x:c>
      <x:c r="D268" s="2" t="str">
        <x:v>en</x:v>
      </x:c>
      <x:c r="E268" s="2" t="n">
        <x:v>4</x:v>
      </x:c>
      <x:c r="F268" s="2" t="n">
        <x:v>2</x:v>
      </x:c>
      <x:c r="G268" s="2" t="n">
        <x:v>1</x:v>
      </x:c>
      <x:c r="H268" s="2" t="n">
        <x:v>2</x:v>
      </x:c>
      <x:c r="I268" s="2" t="n">
        <x:v>1</x:v>
      </x:c>
      <x:c r="J268" s="7" t="n">
        <x:v>10.573284199999762</x:v>
      </x:c>
      <x:c r="K268" s="7" t="n">
        <x:f>IF(G268&gt;0,1,0)</x:f>
        <x:v>1</x:v>
      </x:c>
      <x:c r="L268" s="7" t="n">
        <x:f>IF(E268="",0,1/E268)</x:f>
        <x:v>0.25</x:v>
      </x:c>
      <x:c r="M268" s="7" t="n">
        <x:f>G268/F268</x:f>
        <x:v>0.5</x:v>
      </x:c>
      <x:c r="N268" s="7" t="n">
        <x:f>I268/H268</x:f>
        <x:v>0.5</x:v>
      </x:c>
      <x:c r="O268" s="7" t="n">
        <x:f>IF(I268=H268,1,0)</x:f>
        <x:v>0</x:v>
      </x:c>
    </x:row>
    <x:row r="269" ht="23" customHeight="1">
      <x:c r="A269" s="2" t="str">
        <x:v>C001</x:v>
      </x:c>
      <x:c r="B269" s="2" t="str">
        <x:v>vector</x:v>
      </x:c>
      <x:c r="C269" s="2" t="str">
        <x:v>comparison</x:v>
      </x:c>
      <x:c r="D269" s="2" t="str">
        <x:v>en</x:v>
      </x:c>
      <x:c r="E269" s="2"/>
      <x:c r="F269" s="2" t="n">
        <x:v>2</x:v>
      </x:c>
      <x:c r="G269" s="2" t="n">
        <x:v>0</x:v>
      </x:c>
      <x:c r="H269" s="2" t="n">
        <x:v>2</x:v>
      </x:c>
      <x:c r="I269" s="2" t="n">
        <x:v>0</x:v>
      </x:c>
      <x:c r="J269" s="7" t="n">
        <x:v>0.07487699999910546</x:v>
      </x:c>
      <x:c r="K269" s="7" t="n">
        <x:f>IF(G269&gt;0,1,0)</x:f>
        <x:v>0</x:v>
      </x:c>
      <x:c r="L269" s="7" t="n">
        <x:f>IF(E269="",0,1/E269)</x:f>
        <x:v>0</x:v>
      </x:c>
      <x:c r="M269" s="7" t="n">
        <x:f>G269/F269</x:f>
        <x:v>0</x:v>
      </x:c>
      <x:c r="N269" s="7" t="n">
        <x:f>I269/H269</x:f>
        <x:v>0</x:v>
      </x:c>
      <x:c r="O269" s="7" t="n">
        <x:f>IF(I269=H269,1,0)</x:f>
        <x:v>0</x:v>
      </x:c>
    </x:row>
    <x:row r="270" ht="23" customHeight="1">
      <x:c r="A270" s="2" t="str">
        <x:v>C001</x:v>
      </x:c>
      <x:c r="B270" s="2" t="str">
        <x:v>hybrid</x:v>
      </x:c>
      <x:c r="C270" s="2" t="str">
        <x:v>comparison</x:v>
      </x:c>
      <x:c r="D270" s="2" t="str">
        <x:v>en</x:v>
      </x:c>
      <x:c r="E270" s="2"/>
      <x:c r="F270" s="2" t="n">
        <x:v>2</x:v>
      </x:c>
      <x:c r="G270" s="2" t="n">
        <x:v>0</x:v>
      </x:c>
      <x:c r="H270" s="2" t="n">
        <x:v>2</x:v>
      </x:c>
      <x:c r="I270" s="2" t="n">
        <x:v>0</x:v>
      </x:c>
      <x:c r="J270" s="7" t="n">
        <x:v>0.14896610000141663</x:v>
      </x:c>
      <x:c r="K270" s="7" t="n">
        <x:f>IF(G270&gt;0,1,0)</x:f>
        <x:v>0</x:v>
      </x:c>
      <x:c r="L270" s="7" t="n">
        <x:f>IF(E270="",0,1/E270)</x:f>
        <x:v>0</x:v>
      </x:c>
      <x:c r="M270" s="7" t="n">
        <x:f>G270/F270</x:f>
        <x:v>0</x:v>
      </x:c>
      <x:c r="N270" s="7" t="n">
        <x:f>I270/H270</x:f>
        <x:v>0</x:v>
      </x:c>
      <x:c r="O270" s="7" t="n">
        <x:f>IF(I270=H270,1,0)</x:f>
        <x:v>0</x:v>
      </x:c>
    </x:row>
    <x:row r="271" ht="23" customHeight="1">
      <x:c r="A271" s="2" t="str">
        <x:v>C001</x:v>
      </x:c>
      <x:c r="B271" s="2" t="str">
        <x:v>rerank20</x:v>
      </x:c>
      <x:c r="C271" s="2" t="str">
        <x:v>comparison</x:v>
      </x:c>
      <x:c r="D271" s="2" t="str">
        <x:v>en</x:v>
      </x:c>
      <x:c r="E271" s="2"/>
      <x:c r="F271" s="2" t="n">
        <x:v>2</x:v>
      </x:c>
      <x:c r="G271" s="2" t="n">
        <x:v>0</x:v>
      </x:c>
      <x:c r="H271" s="2" t="n">
        <x:v>2</x:v>
      </x:c>
      <x:c r="I271" s="2" t="n">
        <x:v>0</x:v>
      </x:c>
      <x:c r="J271" s="7" t="n">
        <x:v>4.702586999999767</x:v>
      </x:c>
      <x:c r="K271" s="7" t="n">
        <x:f>IF(G271&gt;0,1,0)</x:f>
        <x:v>0</x:v>
      </x:c>
      <x:c r="L271" s="7" t="n">
        <x:f>IF(E271="",0,1/E271)</x:f>
        <x:v>0</x:v>
      </x:c>
      <x:c r="M271" s="7" t="n">
        <x:f>G271/F271</x:f>
        <x:v>0</x:v>
      </x:c>
      <x:c r="N271" s="7" t="n">
        <x:f>I271/H271</x:f>
        <x:v>0</x:v>
      </x:c>
      <x:c r="O271" s="7" t="n">
        <x:f>IF(I271=H271,1,0)</x:f>
        <x:v>0</x:v>
      </x:c>
    </x:row>
    <x:row r="272" ht="23" customHeight="1">
      <x:c r="A272" s="2" t="str">
        <x:v>C015</x:v>
      </x:c>
      <x:c r="B272" s="2" t="str">
        <x:v>rerank40</x:v>
      </x:c>
      <x:c r="C272" s="2" t="str">
        <x:v>comparison</x:v>
      </x:c>
      <x:c r="D272" s="2" t="str">
        <x:v>en</x:v>
      </x:c>
      <x:c r="E272" s="2"/>
      <x:c r="F272" s="2" t="n">
        <x:v>2</x:v>
      </x:c>
      <x:c r="G272" s="2" t="n">
        <x:v>0</x:v>
      </x:c>
      <x:c r="H272" s="2" t="n">
        <x:v>2</x:v>
      </x:c>
      <x:c r="I272" s="2" t="n">
        <x:v>0</x:v>
      </x:c>
      <x:c r="J272" s="7" t="n">
        <x:v>9.745818999999756</x:v>
      </x:c>
      <x:c r="K272" s="7" t="n">
        <x:f>IF(G272&gt;0,1,0)</x:f>
        <x:v>0</x:v>
      </x:c>
      <x:c r="L272" s="7" t="n">
        <x:f>IF(E272="",0,1/E272)</x:f>
        <x:v>0</x:v>
      </x:c>
      <x:c r="M272" s="7" t="n">
        <x:f>G272/F272</x:f>
        <x:v>0</x:v>
      </x:c>
      <x:c r="N272" s="7" t="n">
        <x:f>I272/H272</x:f>
        <x:v>0</x:v>
      </x:c>
      <x:c r="O272" s="7" t="n">
        <x:f>IF(I272=H272,1,0)</x:f>
        <x:v>0</x:v>
      </x:c>
    </x:row>
    <x:row r="273" ht="23" customHeight="1">
      <x:c r="A273" s="2" t="str">
        <x:v>C015</x:v>
      </x:c>
      <x:c r="B273" s="2" t="str">
        <x:v>vector</x:v>
      </x:c>
      <x:c r="C273" s="2" t="str">
        <x:v>comparison</x:v>
      </x:c>
      <x:c r="D273" s="2" t="str">
        <x:v>en</x:v>
      </x:c>
      <x:c r="E273" s="2"/>
      <x:c r="F273" s="2" t="n">
        <x:v>2</x:v>
      </x:c>
      <x:c r="G273" s="2" t="n">
        <x:v>0</x:v>
      </x:c>
      <x:c r="H273" s="2" t="n">
        <x:v>2</x:v>
      </x:c>
      <x:c r="I273" s="2" t="n">
        <x:v>0</x:v>
      </x:c>
      <x:c r="J273" s="7" t="n">
        <x:v>0.09771330000148737</x:v>
      </x:c>
      <x:c r="K273" s="7" t="n">
        <x:f>IF(G273&gt;0,1,0)</x:f>
        <x:v>0</x:v>
      </x:c>
      <x:c r="L273" s="7" t="n">
        <x:f>IF(E273="",0,1/E273)</x:f>
        <x:v>0</x:v>
      </x:c>
      <x:c r="M273" s="7" t="n">
        <x:f>G273/F273</x:f>
        <x:v>0</x:v>
      </x:c>
      <x:c r="N273" s="7" t="n">
        <x:f>I273/H273</x:f>
        <x:v>0</x:v>
      </x:c>
      <x:c r="O273" s="7" t="n">
        <x:f>IF(I273=H273,1,0)</x:f>
        <x:v>0</x:v>
      </x:c>
    </x:row>
    <x:row r="274" ht="23" customHeight="1">
      <x:c r="A274" s="2" t="str">
        <x:v>C015</x:v>
      </x:c>
      <x:c r="B274" s="2" t="str">
        <x:v>hybrid</x:v>
      </x:c>
      <x:c r="C274" s="2" t="str">
        <x:v>comparison</x:v>
      </x:c>
      <x:c r="D274" s="2" t="str">
        <x:v>en</x:v>
      </x:c>
      <x:c r="E274" s="2"/>
      <x:c r="F274" s="2" t="n">
        <x:v>2</x:v>
      </x:c>
      <x:c r="G274" s="2" t="n">
        <x:v>0</x:v>
      </x:c>
      <x:c r="H274" s="2" t="n">
        <x:v>2</x:v>
      </x:c>
      <x:c r="I274" s="2" t="n">
        <x:v>0</x:v>
      </x:c>
      <x:c r="J274" s="7" t="n">
        <x:v>0.17107989999931306</x:v>
      </x:c>
      <x:c r="K274" s="7" t="n">
        <x:f>IF(G274&gt;0,1,0)</x:f>
        <x:v>0</x:v>
      </x:c>
      <x:c r="L274" s="7" t="n">
        <x:f>IF(E274="",0,1/E274)</x:f>
        <x:v>0</x:v>
      </x:c>
      <x:c r="M274" s="7" t="n">
        <x:f>G274/F274</x:f>
        <x:v>0</x:v>
      </x:c>
      <x:c r="N274" s="7" t="n">
        <x:f>I274/H274</x:f>
        <x:v>0</x:v>
      </x:c>
      <x:c r="O274" s="7" t="n">
        <x:f>IF(I274=H274,1,0)</x:f>
        <x:v>0</x:v>
      </x:c>
    </x:row>
    <x:row r="275" ht="23" customHeight="1">
      <x:c r="A275" s="2" t="str">
        <x:v>C015</x:v>
      </x:c>
      <x:c r="B275" s="2" t="str">
        <x:v>rerank20</x:v>
      </x:c>
      <x:c r="C275" s="2" t="str">
        <x:v>comparison</x:v>
      </x:c>
      <x:c r="D275" s="2" t="str">
        <x:v>en</x:v>
      </x:c>
      <x:c r="E275" s="2"/>
      <x:c r="F275" s="2" t="n">
        <x:v>2</x:v>
      </x:c>
      <x:c r="G275" s="2" t="n">
        <x:v>0</x:v>
      </x:c>
      <x:c r="H275" s="2" t="n">
        <x:v>2</x:v>
      </x:c>
      <x:c r="I275" s="2" t="n">
        <x:v>0</x:v>
      </x:c>
      <x:c r="J275" s="7" t="n">
        <x:v>5.0857450000003155</x:v>
      </x:c>
      <x:c r="K275" s="7" t="n">
        <x:f>IF(G275&gt;0,1,0)</x:f>
        <x:v>0</x:v>
      </x:c>
      <x:c r="L275" s="7" t="n">
        <x:f>IF(E275="",0,1/E275)</x:f>
        <x:v>0</x:v>
      </x:c>
      <x:c r="M275" s="7" t="n">
        <x:f>G275/F275</x:f>
        <x:v>0</x:v>
      </x:c>
      <x:c r="N275" s="7" t="n">
        <x:f>I275/H275</x:f>
        <x:v>0</x:v>
      </x:c>
      <x:c r="O275" s="7" t="n">
        <x:f>IF(I275=H275,1,0)</x:f>
        <x:v>0</x:v>
      </x:c>
    </x:row>
    <x:row r="276" ht="23" customHeight="1">
      <x:c r="A276" s="2" t="str">
        <x:v>C015</x:v>
      </x:c>
      <x:c r="B276" s="2" t="str">
        <x:v>rerank10</x:v>
      </x:c>
      <x:c r="C276" s="2" t="str">
        <x:v>comparison</x:v>
      </x:c>
      <x:c r="D276" s="2" t="str">
        <x:v>en</x:v>
      </x:c>
      <x:c r="E276" s="2"/>
      <x:c r="F276" s="2" t="n">
        <x:v>2</x:v>
      </x:c>
      <x:c r="G276" s="2" t="n">
        <x:v>0</x:v>
      </x:c>
      <x:c r="H276" s="2" t="n">
        <x:v>2</x:v>
      </x:c>
      <x:c r="I276" s="2" t="n">
        <x:v>0</x:v>
      </x:c>
      <x:c r="J276" s="7" t="n">
        <x:v>2.514459699999861</x:v>
      </x:c>
      <x:c r="K276" s="7" t="n">
        <x:f>IF(G276&gt;0,1,0)</x:f>
        <x:v>0</x:v>
      </x:c>
      <x:c r="L276" s="7" t="n">
        <x:f>IF(E276="",0,1/E276)</x:f>
        <x:v>0</x:v>
      </x:c>
      <x:c r="M276" s="7" t="n">
        <x:f>G276/F276</x:f>
        <x:v>0</x:v>
      </x:c>
      <x:c r="N276" s="7" t="n">
        <x:f>I276/H276</x:f>
        <x:v>0</x:v>
      </x:c>
      <x:c r="O276" s="7" t="n">
        <x:f>IF(I276=H276,1,0)</x:f>
        <x:v>0</x:v>
      </x:c>
    </x:row>
    <x:row r="277" ht="23" customHeight="1">
      <x:c r="A277" s="2" t="str">
        <x:v>C012</x:v>
      </x:c>
      <x:c r="B277" s="2" t="str">
        <x:v>vector</x:v>
      </x:c>
      <x:c r="C277" s="2" t="str">
        <x:v>comparison</x:v>
      </x:c>
      <x:c r="D277" s="2" t="str">
        <x:v>zh</x:v>
      </x:c>
      <x:c r="E277" s="2"/>
      <x:c r="F277" s="2" t="n">
        <x:v>3</x:v>
      </x:c>
      <x:c r="G277" s="2" t="n">
        <x:v>0</x:v>
      </x:c>
      <x:c r="H277" s="2" t="n">
        <x:v>2</x:v>
      </x:c>
      <x:c r="I277" s="2" t="n">
        <x:v>0</x:v>
      </x:c>
      <x:c r="J277" s="7" t="n">
        <x:v>0.09187270000256831</x:v>
      </x:c>
      <x:c r="K277" s="7" t="n">
        <x:f>IF(G277&gt;0,1,0)</x:f>
        <x:v>0</x:v>
      </x:c>
      <x:c r="L277" s="7" t="n">
        <x:f>IF(E277="",0,1/E277)</x:f>
        <x:v>0</x:v>
      </x:c>
      <x:c r="M277" s="7" t="n">
        <x:f>G277/F277</x:f>
        <x:v>0</x:v>
      </x:c>
      <x:c r="N277" s="7" t="n">
        <x:f>I277/H277</x:f>
        <x:v>0</x:v>
      </x:c>
      <x:c r="O277" s="7" t="n">
        <x:f>IF(I277=H277,1,0)</x:f>
        <x:v>0</x:v>
      </x:c>
    </x:row>
    <x:row r="278" ht="23" customHeight="1">
      <x:c r="A278" s="2" t="str">
        <x:v>C012</x:v>
      </x:c>
      <x:c r="B278" s="2" t="str">
        <x:v>hybrid</x:v>
      </x:c>
      <x:c r="C278" s="2" t="str">
        <x:v>comparison</x:v>
      </x:c>
      <x:c r="D278" s="2" t="str">
        <x:v>zh</x:v>
      </x:c>
      <x:c r="E278" s="2"/>
      <x:c r="F278" s="2" t="n">
        <x:v>3</x:v>
      </x:c>
      <x:c r="G278" s="2" t="n">
        <x:v>0</x:v>
      </x:c>
      <x:c r="H278" s="2" t="n">
        <x:v>2</x:v>
      </x:c>
      <x:c r="I278" s="2" t="n">
        <x:v>0</x:v>
      </x:c>
      <x:c r="J278" s="7" t="n">
        <x:v>0.15432460000010906</x:v>
      </x:c>
      <x:c r="K278" s="7" t="n">
        <x:f>IF(G278&gt;0,1,0)</x:f>
        <x:v>0</x:v>
      </x:c>
      <x:c r="L278" s="7" t="n">
        <x:f>IF(E278="",0,1/E278)</x:f>
        <x:v>0</x:v>
      </x:c>
      <x:c r="M278" s="7" t="n">
        <x:f>G278/F278</x:f>
        <x:v>0</x:v>
      </x:c>
      <x:c r="N278" s="7" t="n">
        <x:f>I278/H278</x:f>
        <x:v>0</x:v>
      </x:c>
      <x:c r="O278" s="7" t="n">
        <x:f>IF(I278=H278,1,0)</x:f>
        <x:v>0</x:v>
      </x:c>
    </x:row>
    <x:row r="279" ht="23" customHeight="1">
      <x:c r="A279" s="2" t="str">
        <x:v>C012</x:v>
      </x:c>
      <x:c r="B279" s="2" t="str">
        <x:v>rerank20</x:v>
      </x:c>
      <x:c r="C279" s="2" t="str">
        <x:v>comparison</x:v>
      </x:c>
      <x:c r="D279" s="2" t="str">
        <x:v>zh</x:v>
      </x:c>
      <x:c r="E279" s="2"/>
      <x:c r="F279" s="2" t="n">
        <x:v>3</x:v>
      </x:c>
      <x:c r="G279" s="2" t="n">
        <x:v>0</x:v>
      </x:c>
      <x:c r="H279" s="2" t="n">
        <x:v>2</x:v>
      </x:c>
      <x:c r="I279" s="2" t="n">
        <x:v>0</x:v>
      </x:c>
      <x:c r="J279" s="7" t="n">
        <x:v>9.490472000001319</x:v>
      </x:c>
      <x:c r="K279" s="7" t="n">
        <x:f>IF(G279&gt;0,1,0)</x:f>
        <x:v>0</x:v>
      </x:c>
      <x:c r="L279" s="7" t="n">
        <x:f>IF(E279="",0,1/E279)</x:f>
        <x:v>0</x:v>
      </x:c>
      <x:c r="M279" s="7" t="n">
        <x:f>G279/F279</x:f>
        <x:v>0</x:v>
      </x:c>
      <x:c r="N279" s="7" t="n">
        <x:f>I279/H279</x:f>
        <x:v>0</x:v>
      </x:c>
      <x:c r="O279" s="7" t="n">
        <x:f>IF(I279=H279,1,0)</x:f>
        <x:v>0</x:v>
      </x:c>
    </x:row>
    <x:row r="280" ht="23" customHeight="1">
      <x:c r="A280" s="2" t="str">
        <x:v>C012</x:v>
      </x:c>
      <x:c r="B280" s="2" t="str">
        <x:v>rerank10</x:v>
      </x:c>
      <x:c r="C280" s="2" t="str">
        <x:v>comparison</x:v>
      </x:c>
      <x:c r="D280" s="2" t="str">
        <x:v>zh</x:v>
      </x:c>
      <x:c r="E280" s="2"/>
      <x:c r="F280" s="2" t="n">
        <x:v>3</x:v>
      </x:c>
      <x:c r="G280" s="2" t="n">
        <x:v>0</x:v>
      </x:c>
      <x:c r="H280" s="2" t="n">
        <x:v>2</x:v>
      </x:c>
      <x:c r="I280" s="2" t="n">
        <x:v>0</x:v>
      </x:c>
      <x:c r="J280" s="7" t="n">
        <x:v>6.58536660000027</x:v>
      </x:c>
      <x:c r="K280" s="7" t="n">
        <x:f>IF(G280&gt;0,1,0)</x:f>
        <x:v>0</x:v>
      </x:c>
      <x:c r="L280" s="7" t="n">
        <x:f>IF(E280="",0,1/E280)</x:f>
        <x:v>0</x:v>
      </x:c>
      <x:c r="M280" s="7" t="n">
        <x:f>G280/F280</x:f>
        <x:v>0</x:v>
      </x:c>
      <x:c r="N280" s="7" t="n">
        <x:f>I280/H280</x:f>
        <x:v>0</x:v>
      </x:c>
      <x:c r="O280" s="7" t="n">
        <x:f>IF(I280=H280,1,0)</x:f>
        <x:v>0</x:v>
      </x:c>
    </x:row>
    <x:row r="281" ht="23" customHeight="1">
      <x:c r="A281" s="2" t="str">
        <x:v>C012</x:v>
      </x:c>
      <x:c r="B281" s="2" t="str">
        <x:v>rerank40</x:v>
      </x:c>
      <x:c r="C281" s="2" t="str">
        <x:v>comparison</x:v>
      </x:c>
      <x:c r="D281" s="2" t="str">
        <x:v>zh</x:v>
      </x:c>
      <x:c r="E281" s="2"/>
      <x:c r="F281" s="2" t="n">
        <x:v>3</x:v>
      </x:c>
      <x:c r="G281" s="2" t="n">
        <x:v>0</x:v>
      </x:c>
      <x:c r="H281" s="2" t="n">
        <x:v>2</x:v>
      </x:c>
      <x:c r="I281" s="2" t="n">
        <x:v>0</x:v>
      </x:c>
      <x:c r="J281" s="7" t="n">
        <x:v>17.58411899999919</x:v>
      </x:c>
      <x:c r="K281" s="7" t="n">
        <x:f>IF(G281&gt;0,1,0)</x:f>
        <x:v>0</x:v>
      </x:c>
      <x:c r="L281" s="7" t="n">
        <x:f>IF(E281="",0,1/E281)</x:f>
        <x:v>0</x:v>
      </x:c>
      <x:c r="M281" s="7" t="n">
        <x:f>G281/F281</x:f>
        <x:v>0</x:v>
      </x:c>
      <x:c r="N281" s="7" t="n">
        <x:f>I281/H281</x:f>
        <x:v>0</x:v>
      </x:c>
      <x:c r="O281" s="7" t="n">
        <x:f>IF(I281=H281,1,0)</x:f>
        <x:v>0</x:v>
      </x:c>
    </x:row>
    <x:row r="282" ht="23" customHeight="1">
      <x:c r="A282" s="2" t="str">
        <x:v>R008</x:v>
      </x:c>
      <x:c r="B282" s="2" t="str">
        <x:v>hybrid</x:v>
      </x:c>
      <x:c r="C282" s="2" t="str">
        <x:v>reasoning</x:v>
      </x:c>
      <x:c r="D282" s="2" t="str">
        <x:v>zh</x:v>
      </x:c>
      <x:c r="E282" s="2" t="n">
        <x:v>5</x:v>
      </x:c>
      <x:c r="F282" s="2" t="n">
        <x:v>2</x:v>
      </x:c>
      <x:c r="G282" s="2" t="n">
        <x:v>1</x:v>
      </x:c>
      <x:c r="H282" s="2" t="n">
        <x:v>1</x:v>
      </x:c>
      <x:c r="I282" s="2" t="n">
        <x:v>1</x:v>
      </x:c>
      <x:c r="J282" s="7" t="n">
        <x:v>0.19600139999965904</x:v>
      </x:c>
      <x:c r="K282" s="7" t="n">
        <x:f>IF(G282&gt;0,1,0)</x:f>
        <x:v>1</x:v>
      </x:c>
      <x:c r="L282" s="7" t="n">
        <x:f>IF(E282="",0,1/E282)</x:f>
        <x:v>0.2</x:v>
      </x:c>
      <x:c r="M282" s="7" t="n">
        <x:f>G282/F282</x:f>
        <x:v>0.5</x:v>
      </x:c>
      <x:c r="N282" s="7" t="n">
        <x:f>I282/H282</x:f>
        <x:v>1</x:v>
      </x:c>
      <x:c r="O282" s="7" t="n">
        <x:f>IF(I282=H282,1,0)</x:f>
        <x:v>1</x:v>
      </x:c>
    </x:row>
    <x:row r="283" ht="23" customHeight="1">
      <x:c r="A283" s="2" t="str">
        <x:v>R008</x:v>
      </x:c>
      <x:c r="B283" s="2" t="str">
        <x:v>rerank20</x:v>
      </x:c>
      <x:c r="C283" s="2" t="str">
        <x:v>reasoning</x:v>
      </x:c>
      <x:c r="D283" s="2" t="str">
        <x:v>zh</x:v>
      </x:c>
      <x:c r="E283" s="2" t="n">
        <x:v>3</x:v>
      </x:c>
      <x:c r="F283" s="2" t="n">
        <x:v>2</x:v>
      </x:c>
      <x:c r="G283" s="2" t="n">
        <x:v>1</x:v>
      </x:c>
      <x:c r="H283" s="2" t="n">
        <x:v>1</x:v>
      </x:c>
      <x:c r="I283" s="2" t="n">
        <x:v>1</x:v>
      </x:c>
      <x:c r="J283" s="7" t="n">
        <x:v>5.11724680000043</x:v>
      </x:c>
      <x:c r="K283" s="7" t="n">
        <x:f>IF(G283&gt;0,1,0)</x:f>
        <x:v>1</x:v>
      </x:c>
      <x:c r="L283" s="7" t="n">
        <x:f>IF(E283="",0,1/E283)</x:f>
        <x:v>0.3333333333333333</x:v>
      </x:c>
      <x:c r="M283" s="7" t="n">
        <x:f>G283/F283</x:f>
        <x:v>0.5</x:v>
      </x:c>
      <x:c r="N283" s="7" t="n">
        <x:f>I283/H283</x:f>
        <x:v>1</x:v>
      </x:c>
      <x:c r="O283" s="7" t="n">
        <x:f>IF(I283=H283,1,0)</x:f>
        <x:v>1</x:v>
      </x:c>
    </x:row>
    <x:row r="284" ht="23" customHeight="1">
      <x:c r="A284" s="2" t="str">
        <x:v>R008</x:v>
      </x:c>
      <x:c r="B284" s="2" t="str">
        <x:v>rerank10</x:v>
      </x:c>
      <x:c r="C284" s="2" t="str">
        <x:v>reasoning</x:v>
      </x:c>
      <x:c r="D284" s="2" t="str">
        <x:v>zh</x:v>
      </x:c>
      <x:c r="E284" s="2" t="n">
        <x:v>2</x:v>
      </x:c>
      <x:c r="F284" s="2" t="n">
        <x:v>2</x:v>
      </x:c>
      <x:c r="G284" s="2" t="n">
        <x:v>1</x:v>
      </x:c>
      <x:c r="H284" s="2" t="n">
        <x:v>1</x:v>
      </x:c>
      <x:c r="I284" s="2" t="n">
        <x:v>1</x:v>
      </x:c>
      <x:c r="J284" s="7" t="n">
        <x:v>2.490947199999937</x:v>
      </x:c>
      <x:c r="K284" s="7" t="n">
        <x:f>IF(G284&gt;0,1,0)</x:f>
        <x:v>1</x:v>
      </x:c>
      <x:c r="L284" s="7" t="n">
        <x:f>IF(E284="",0,1/E284)</x:f>
        <x:v>0.5</x:v>
      </x:c>
      <x:c r="M284" s="7" t="n">
        <x:f>G284/F284</x:f>
        <x:v>0.5</x:v>
      </x:c>
      <x:c r="N284" s="7" t="n">
        <x:f>I284/H284</x:f>
        <x:v>1</x:v>
      </x:c>
      <x:c r="O284" s="7" t="n">
        <x:f>IF(I284=H284,1,0)</x:f>
        <x:v>1</x:v>
      </x:c>
    </x:row>
    <x:row r="285" ht="23" customHeight="1">
      <x:c r="A285" s="2" t="str">
        <x:v>R008</x:v>
      </x:c>
      <x:c r="B285" s="2" t="str">
        <x:v>rerank40</x:v>
      </x:c>
      <x:c r="C285" s="2" t="str">
        <x:v>reasoning</x:v>
      </x:c>
      <x:c r="D285" s="2" t="str">
        <x:v>zh</x:v>
      </x:c>
      <x:c r="E285" s="2" t="n">
        <x:v>3</x:v>
      </x:c>
      <x:c r="F285" s="2" t="n">
        <x:v>2</x:v>
      </x:c>
      <x:c r="G285" s="2" t="n">
        <x:v>1</x:v>
      </x:c>
      <x:c r="H285" s="2" t="n">
        <x:v>1</x:v>
      </x:c>
      <x:c r="I285" s="2" t="n">
        <x:v>1</x:v>
      </x:c>
      <x:c r="J285" s="7" t="n">
        <x:v>10.049886600001628</x:v>
      </x:c>
      <x:c r="K285" s="7" t="n">
        <x:f>IF(G285&gt;0,1,0)</x:f>
        <x:v>1</x:v>
      </x:c>
      <x:c r="L285" s="7" t="n">
        <x:f>IF(E285="",0,1/E285)</x:f>
        <x:v>0.3333333333333333</x:v>
      </x:c>
      <x:c r="M285" s="7" t="n">
        <x:f>G285/F285</x:f>
        <x:v>0.5</x:v>
      </x:c>
      <x:c r="N285" s="7" t="n">
        <x:f>I285/H285</x:f>
        <x:v>1</x:v>
      </x:c>
      <x:c r="O285" s="7" t="n">
        <x:f>IF(I285=H285,1,0)</x:f>
        <x:v>1</x:v>
      </x:c>
    </x:row>
    <x:row r="286" ht="23" customHeight="1">
      <x:c r="A286" s="2" t="str">
        <x:v>R008</x:v>
      </x:c>
      <x:c r="B286" s="2" t="str">
        <x:v>vector</x:v>
      </x:c>
      <x:c r="C286" s="2" t="str">
        <x:v>reasoning</x:v>
      </x:c>
      <x:c r="D286" s="2" t="str">
        <x:v>zh</x:v>
      </x:c>
      <x:c r="E286" s="2" t="n">
        <x:v>1</x:v>
      </x:c>
      <x:c r="F286" s="2" t="n">
        <x:v>2</x:v>
      </x:c>
      <x:c r="G286" s="2" t="n">
        <x:v>1</x:v>
      </x:c>
      <x:c r="H286" s="2" t="n">
        <x:v>1</x:v>
      </x:c>
      <x:c r="I286" s="2" t="n">
        <x:v>1</x:v>
      </x:c>
      <x:c r="J286" s="7" t="n">
        <x:v>0.09843259999979637</x:v>
      </x:c>
      <x:c r="K286" s="7" t="n">
        <x:f>IF(G286&gt;0,1,0)</x:f>
        <x:v>1</x:v>
      </x:c>
      <x:c r="L286" s="7" t="n">
        <x:f>IF(E286="",0,1/E286)</x:f>
        <x:v>1</x:v>
      </x:c>
      <x:c r="M286" s="7" t="n">
        <x:f>G286/F286</x:f>
        <x:v>0.5</x:v>
      </x:c>
      <x:c r="N286" s="7" t="n">
        <x:f>I286/H286</x:f>
        <x:v>1</x:v>
      </x:c>
      <x:c r="O286" s="7" t="n">
        <x:f>IF(I286=H286,1,0)</x:f>
        <x:v>1</x:v>
      </x:c>
    </x:row>
    <x:row r="287" ht="23" customHeight="1">
      <x:c r="A287" s="2" t="str">
        <x:v>C003</x:v>
      </x:c>
      <x:c r="B287" s="2" t="str">
        <x:v>rerank20</x:v>
      </x:c>
      <x:c r="C287" s="2" t="str">
        <x:v>comparison</x:v>
      </x:c>
      <x:c r="D287" s="2" t="str">
        <x:v>en</x:v>
      </x:c>
      <x:c r="E287" s="2" t="n">
        <x:v>5</x:v>
      </x:c>
      <x:c r="F287" s="2" t="n">
        <x:v>2</x:v>
      </x:c>
      <x:c r="G287" s="2" t="n">
        <x:v>1</x:v>
      </x:c>
      <x:c r="H287" s="2" t="n">
        <x:v>2</x:v>
      </x:c>
      <x:c r="I287" s="2" t="n">
        <x:v>1</x:v>
      </x:c>
      <x:c r="J287" s="7" t="n">
        <x:v>5.077619100000447</x:v>
      </x:c>
      <x:c r="K287" s="7" t="n">
        <x:f>IF(G287&gt;0,1,0)</x:f>
        <x:v>1</x:v>
      </x:c>
      <x:c r="L287" s="7" t="n">
        <x:f>IF(E287="",0,1/E287)</x:f>
        <x:v>0.2</x:v>
      </x:c>
      <x:c r="M287" s="7" t="n">
        <x:f>G287/F287</x:f>
        <x:v>0.5</x:v>
      </x:c>
      <x:c r="N287" s="7" t="n">
        <x:f>I287/H287</x:f>
        <x:v>0.5</x:v>
      </x:c>
      <x:c r="O287" s="7" t="n">
        <x:f>IF(I287=H287,1,0)</x:f>
        <x:v>0</x:v>
      </x:c>
    </x:row>
    <x:row r="288" ht="23" customHeight="1">
      <x:c r="A288" s="2" t="str">
        <x:v>C003</x:v>
      </x:c>
      <x:c r="B288" s="2" t="str">
        <x:v>rerank10</x:v>
      </x:c>
      <x:c r="C288" s="2" t="str">
        <x:v>comparison</x:v>
      </x:c>
      <x:c r="D288" s="2" t="str">
        <x:v>en</x:v>
      </x:c>
      <x:c r="E288" s="2" t="n">
        <x:v>4</x:v>
      </x:c>
      <x:c r="F288" s="2" t="n">
        <x:v>2</x:v>
      </x:c>
      <x:c r="G288" s="2" t="n">
        <x:v>1</x:v>
      </x:c>
      <x:c r="H288" s="2" t="n">
        <x:v>2</x:v>
      </x:c>
      <x:c r="I288" s="2" t="n">
        <x:v>1</x:v>
      </x:c>
      <x:c r="J288" s="7" t="n">
        <x:v>2.457579000001715</x:v>
      </x:c>
      <x:c r="K288" s="7" t="n">
        <x:f>IF(G288&gt;0,1,0)</x:f>
        <x:v>1</x:v>
      </x:c>
      <x:c r="L288" s="7" t="n">
        <x:f>IF(E288="",0,1/E288)</x:f>
        <x:v>0.25</x:v>
      </x:c>
      <x:c r="M288" s="7" t="n">
        <x:f>G288/F288</x:f>
        <x:v>0.5</x:v>
      </x:c>
      <x:c r="N288" s="7" t="n">
        <x:f>I288/H288</x:f>
        <x:v>0.5</x:v>
      </x:c>
      <x:c r="O288" s="7" t="n">
        <x:f>IF(I288=H288,1,0)</x:f>
        <x:v>0</x:v>
      </x:c>
    </x:row>
    <x:row r="289" ht="23" customHeight="1">
      <x:c r="A289" s="2" t="str">
        <x:v>C003</x:v>
      </x:c>
      <x:c r="B289" s="2" t="str">
        <x:v>rerank40</x:v>
      </x:c>
      <x:c r="C289" s="2" t="str">
        <x:v>comparison</x:v>
      </x:c>
      <x:c r="D289" s="2" t="str">
        <x:v>en</x:v>
      </x:c>
      <x:c r="E289" s="2" t="n">
        <x:v>3</x:v>
      </x:c>
      <x:c r="F289" s="2" t="n">
        <x:v>2</x:v>
      </x:c>
      <x:c r="G289" s="2" t="n">
        <x:v>1</x:v>
      </x:c>
      <x:c r="H289" s="2" t="n">
        <x:v>2</x:v>
      </x:c>
      <x:c r="I289" s="2" t="n">
        <x:v>1</x:v>
      </x:c>
      <x:c r="J289" s="7" t="n">
        <x:v>10.585466999997152</x:v>
      </x:c>
      <x:c r="K289" s="7" t="n">
        <x:f>IF(G289&gt;0,1,0)</x:f>
        <x:v>1</x:v>
      </x:c>
      <x:c r="L289" s="7" t="n">
        <x:f>IF(E289="",0,1/E289)</x:f>
        <x:v>0.3333333333333333</x:v>
      </x:c>
      <x:c r="M289" s="7" t="n">
        <x:f>G289/F289</x:f>
        <x:v>0.5</x:v>
      </x:c>
      <x:c r="N289" s="7" t="n">
        <x:f>I289/H289</x:f>
        <x:v>0.5</x:v>
      </x:c>
      <x:c r="O289" s="7" t="n">
        <x:f>IF(I289=H289,1,0)</x:f>
        <x:v>0</x:v>
      </x:c>
    </x:row>
    <x:row r="290" ht="23" customHeight="1">
      <x:c r="A290" s="2" t="str">
        <x:v>C003</x:v>
      </x:c>
      <x:c r="B290" s="2" t="str">
        <x:v>vector</x:v>
      </x:c>
      <x:c r="C290" s="2" t="str">
        <x:v>comparison</x:v>
      </x:c>
      <x:c r="D290" s="2" t="str">
        <x:v>en</x:v>
      </x:c>
      <x:c r="E290" s="2" t="n">
        <x:v>3</x:v>
      </x:c>
      <x:c r="F290" s="2" t="n">
        <x:v>2</x:v>
      </x:c>
      <x:c r="G290" s="2" t="n">
        <x:v>1</x:v>
      </x:c>
      <x:c r="H290" s="2" t="n">
        <x:v>2</x:v>
      </x:c>
      <x:c r="I290" s="2" t="n">
        <x:v>1</x:v>
      </x:c>
      <x:c r="J290" s="7" t="n">
        <x:v>0.07161120000091614</x:v>
      </x:c>
      <x:c r="K290" s="7" t="n">
        <x:f>IF(G290&gt;0,1,0)</x:f>
        <x:v>1</x:v>
      </x:c>
      <x:c r="L290" s="7" t="n">
        <x:f>IF(E290="",0,1/E290)</x:f>
        <x:v>0.3333333333333333</x:v>
      </x:c>
      <x:c r="M290" s="7" t="n">
        <x:f>G290/F290</x:f>
        <x:v>0.5</x:v>
      </x:c>
      <x:c r="N290" s="7" t="n">
        <x:f>I290/H290</x:f>
        <x:v>0.5</x:v>
      </x:c>
      <x:c r="O290" s="7" t="n">
        <x:f>IF(I290=H290,1,0)</x:f>
        <x:v>0</x:v>
      </x:c>
    </x:row>
    <x:row r="291" ht="23" customHeight="1">
      <x:c r="A291" s="2" t="str">
        <x:v>C003</x:v>
      </x:c>
      <x:c r="B291" s="2" t="str">
        <x:v>hybrid</x:v>
      </x:c>
      <x:c r="C291" s="2" t="str">
        <x:v>comparison</x:v>
      </x:c>
      <x:c r="D291" s="2" t="str">
        <x:v>en</x:v>
      </x:c>
      <x:c r="E291" s="2" t="n">
        <x:v>5</x:v>
      </x:c>
      <x:c r="F291" s="2" t="n">
        <x:v>2</x:v>
      </x:c>
      <x:c r="G291" s="2" t="n">
        <x:v>1</x:v>
      </x:c>
      <x:c r="H291" s="2" t="n">
        <x:v>2</x:v>
      </x:c>
      <x:c r="I291" s="2" t="n">
        <x:v>1</x:v>
      </x:c>
      <x:c r="J291" s="7" t="n">
        <x:v>0.1428331999995862</x:v>
      </x:c>
      <x:c r="K291" s="7" t="n">
        <x:f>IF(G291&gt;0,1,0)</x:f>
        <x:v>1</x:v>
      </x:c>
      <x:c r="L291" s="7" t="n">
        <x:f>IF(E291="",0,1/E291)</x:f>
        <x:v>0.2</x:v>
      </x:c>
      <x:c r="M291" s="7" t="n">
        <x:f>G291/F291</x:f>
        <x:v>0.5</x:v>
      </x:c>
      <x:c r="N291" s="7" t="n">
        <x:f>I291/H291</x:f>
        <x:v>0.5</x:v>
      </x:c>
      <x:c r="O291" s="7" t="n">
        <x:f>IF(I291=H291,1,0)</x:f>
        <x:v>0</x:v>
      </x:c>
    </x:row>
    <x:row r="292" ht="23" customHeight="1">
      <x:c r="A292" s="2" t="str">
        <x:v>R013</x:v>
      </x:c>
      <x:c r="B292" s="2" t="str">
        <x:v>rerank10</x:v>
      </x:c>
      <x:c r="C292" s="2" t="str">
        <x:v>reasoning</x:v>
      </x:c>
      <x:c r="D292" s="2" t="str">
        <x:v>en</x:v>
      </x:c>
      <x:c r="E292" s="2"/>
      <x:c r="F292" s="2" t="n">
        <x:v>1</x:v>
      </x:c>
      <x:c r="G292" s="2" t="n">
        <x:v>0</x:v>
      </x:c>
      <x:c r="H292" s="2" t="n">
        <x:v>1</x:v>
      </x:c>
      <x:c r="I292" s="2" t="n">
        <x:v>0</x:v>
      </x:c>
      <x:c r="J292" s="7" t="n">
        <x:v>2.4556146999966586</x:v>
      </x:c>
      <x:c r="K292" s="7" t="n">
        <x:f>IF(G292&gt;0,1,0)</x:f>
        <x:v>0</x:v>
      </x:c>
      <x:c r="L292" s="7" t="n">
        <x:f>IF(E292="",0,1/E292)</x:f>
        <x:v>0</x:v>
      </x:c>
      <x:c r="M292" s="7" t="n">
        <x:f>G292/F292</x:f>
        <x:v>0</x:v>
      </x:c>
      <x:c r="N292" s="7" t="n">
        <x:f>I292/H292</x:f>
        <x:v>0</x:v>
      </x:c>
      <x:c r="O292" s="7" t="n">
        <x:f>IF(I292=H292,1,0)</x:f>
        <x:v>0</x:v>
      </x:c>
    </x:row>
    <x:row r="293" ht="23" customHeight="1">
      <x:c r="A293" s="2" t="str">
        <x:v>R013</x:v>
      </x:c>
      <x:c r="B293" s="2" t="str">
        <x:v>rerank40</x:v>
      </x:c>
      <x:c r="C293" s="2" t="str">
        <x:v>reasoning</x:v>
      </x:c>
      <x:c r="D293" s="2" t="str">
        <x:v>en</x:v>
      </x:c>
      <x:c r="E293" s="2" t="n">
        <x:v>4</x:v>
      </x:c>
      <x:c r="F293" s="2" t="n">
        <x:v>1</x:v>
      </x:c>
      <x:c r="G293" s="2" t="n">
        <x:v>1</x:v>
      </x:c>
      <x:c r="H293" s="2" t="n">
        <x:v>1</x:v>
      </x:c>
      <x:c r="I293" s="2" t="n">
        <x:v>1</x:v>
      </x:c>
      <x:c r="J293" s="7" t="n">
        <x:v>10.75109639999937</x:v>
      </x:c>
      <x:c r="K293" s="7" t="n">
        <x:f>IF(G293&gt;0,1,0)</x:f>
        <x:v>1</x:v>
      </x:c>
      <x:c r="L293" s="7" t="n">
        <x:f>IF(E293="",0,1/E293)</x:f>
        <x:v>0.25</x:v>
      </x:c>
      <x:c r="M293" s="7" t="n">
        <x:f>G293/F293</x:f>
        <x:v>1</x:v>
      </x:c>
      <x:c r="N293" s="7" t="n">
        <x:f>I293/H293</x:f>
        <x:v>1</x:v>
      </x:c>
      <x:c r="O293" s="7" t="n">
        <x:f>IF(I293=H293,1,0)</x:f>
        <x:v>1</x:v>
      </x:c>
    </x:row>
    <x:row r="294" ht="23" customHeight="1">
      <x:c r="A294" s="2" t="str">
        <x:v>R013</x:v>
      </x:c>
      <x:c r="B294" s="2" t="str">
        <x:v>vector</x:v>
      </x:c>
      <x:c r="C294" s="2" t="str">
        <x:v>reasoning</x:v>
      </x:c>
      <x:c r="D294" s="2" t="str">
        <x:v>en</x:v>
      </x:c>
      <x:c r="E294" s="2"/>
      <x:c r="F294" s="2" t="n">
        <x:v>1</x:v>
      </x:c>
      <x:c r="G294" s="2" t="n">
        <x:v>0</x:v>
      </x:c>
      <x:c r="H294" s="2" t="n">
        <x:v>1</x:v>
      </x:c>
      <x:c r="I294" s="2" t="n">
        <x:v>0</x:v>
      </x:c>
      <x:c r="J294" s="7" t="n">
        <x:v>0.0861341000018001</x:v>
      </x:c>
      <x:c r="K294" s="7" t="n">
        <x:f>IF(G294&gt;0,1,0)</x:f>
        <x:v>0</x:v>
      </x:c>
      <x:c r="L294" s="7" t="n">
        <x:f>IF(E294="",0,1/E294)</x:f>
        <x:v>0</x:v>
      </x:c>
      <x:c r="M294" s="7" t="n">
        <x:f>G294/F294</x:f>
        <x:v>0</x:v>
      </x:c>
      <x:c r="N294" s="7" t="n">
        <x:f>I294/H294</x:f>
        <x:v>0</x:v>
      </x:c>
      <x:c r="O294" s="7" t="n">
        <x:f>IF(I294=H294,1,0)</x:f>
        <x:v>0</x:v>
      </x:c>
    </x:row>
    <x:row r="295" ht="23" customHeight="1">
      <x:c r="A295" s="2" t="str">
        <x:v>R013</x:v>
      </x:c>
      <x:c r="B295" s="2" t="str">
        <x:v>hybrid</x:v>
      </x:c>
      <x:c r="C295" s="2" t="str">
        <x:v>reasoning</x:v>
      </x:c>
      <x:c r="D295" s="2" t="str">
        <x:v>en</x:v>
      </x:c>
      <x:c r="E295" s="2" t="n">
        <x:v>4</x:v>
      </x:c>
      <x:c r="F295" s="2" t="n">
        <x:v>1</x:v>
      </x:c>
      <x:c r="G295" s="2" t="n">
        <x:v>1</x:v>
      </x:c>
      <x:c r="H295" s="2" t="n">
        <x:v>1</x:v>
      </x:c>
      <x:c r="I295" s="2" t="n">
        <x:v>1</x:v>
      </x:c>
      <x:c r="J295" s="7" t="n">
        <x:v>0.16808839999794145</x:v>
      </x:c>
      <x:c r="K295" s="7" t="n">
        <x:f>IF(G295&gt;0,1,0)</x:f>
        <x:v>1</x:v>
      </x:c>
      <x:c r="L295" s="7" t="n">
        <x:f>IF(E295="",0,1/E295)</x:f>
        <x:v>0.25</x:v>
      </x:c>
      <x:c r="M295" s="7" t="n">
        <x:f>G295/F295</x:f>
        <x:v>1</x:v>
      </x:c>
      <x:c r="N295" s="7" t="n">
        <x:f>I295/H295</x:f>
        <x:v>1</x:v>
      </x:c>
      <x:c r="O295" s="7" t="n">
        <x:f>IF(I295=H295,1,0)</x:f>
        <x:v>1</x:v>
      </x:c>
    </x:row>
    <x:row r="296" ht="23" customHeight="1">
      <x:c r="A296" s="2" t="str">
        <x:v>R013</x:v>
      </x:c>
      <x:c r="B296" s="2" t="str">
        <x:v>rerank20</x:v>
      </x:c>
      <x:c r="C296" s="2" t="str">
        <x:v>reasoning</x:v>
      </x:c>
      <x:c r="D296" s="2" t="str">
        <x:v>en</x:v>
      </x:c>
      <x:c r="E296" s="2" t="n">
        <x:v>4</x:v>
      </x:c>
      <x:c r="F296" s="2" t="n">
        <x:v>1</x:v>
      </x:c>
      <x:c r="G296" s="2" t="n">
        <x:v>1</x:v>
      </x:c>
      <x:c r="H296" s="2" t="n">
        <x:v>1</x:v>
      </x:c>
      <x:c r="I296" s="2" t="n">
        <x:v>1</x:v>
      </x:c>
      <x:c r="J296" s="7" t="n">
        <x:v>6.037936299999274</x:v>
      </x:c>
      <x:c r="K296" s="7" t="n">
        <x:f>IF(G296&gt;0,1,0)</x:f>
        <x:v>1</x:v>
      </x:c>
      <x:c r="L296" s="7" t="n">
        <x:f>IF(E296="",0,1/E296)</x:f>
        <x:v>0.25</x:v>
      </x:c>
      <x:c r="M296" s="7" t="n">
        <x:f>G296/F296</x:f>
        <x:v>1</x:v>
      </x:c>
      <x:c r="N296" s="7" t="n">
        <x:f>I296/H296</x:f>
        <x:v>1</x:v>
      </x:c>
      <x:c r="O296" s="7" t="n">
        <x:f>IF(I296=H296,1,0)</x:f>
        <x:v>1</x:v>
      </x:c>
    </x:row>
    <x:row r="297" ht="23" customHeight="1">
      <x:c r="A297" s="2" t="str">
        <x:v>C011</x:v>
      </x:c>
      <x:c r="B297" s="2" t="str">
        <x:v>rerank40</x:v>
      </x:c>
      <x:c r="C297" s="2" t="str">
        <x:v>comparison</x:v>
      </x:c>
      <x:c r="D297" s="2" t="str">
        <x:v>en</x:v>
      </x:c>
      <x:c r="E297" s="2"/>
      <x:c r="F297" s="2" t="n">
        <x:v>3</x:v>
      </x:c>
      <x:c r="G297" s="2" t="n">
        <x:v>0</x:v>
      </x:c>
      <x:c r="H297" s="2" t="n">
        <x:v>2</x:v>
      </x:c>
      <x:c r="I297" s="2" t="n">
        <x:v>0</x:v>
      </x:c>
      <x:c r="J297" s="7" t="n">
        <x:v>9.872749199999816</x:v>
      </x:c>
      <x:c r="K297" s="7" t="n">
        <x:f>IF(G297&gt;0,1,0)</x:f>
        <x:v>0</x:v>
      </x:c>
      <x:c r="L297" s="7" t="n">
        <x:f>IF(E297="",0,1/E297)</x:f>
        <x:v>0</x:v>
      </x:c>
      <x:c r="M297" s="7" t="n">
        <x:f>G297/F297</x:f>
        <x:v>0</x:v>
      </x:c>
      <x:c r="N297" s="7" t="n">
        <x:f>I297/H297</x:f>
        <x:v>0</x:v>
      </x:c>
      <x:c r="O297" s="7" t="n">
        <x:f>IF(I297=H297,1,0)</x:f>
        <x:v>0</x:v>
      </x:c>
    </x:row>
    <x:row r="298" ht="23" customHeight="1">
      <x:c r="A298" s="2" t="str">
        <x:v>C011</x:v>
      </x:c>
      <x:c r="B298" s="2" t="str">
        <x:v>vector</x:v>
      </x:c>
      <x:c r="C298" s="2" t="str">
        <x:v>comparison</x:v>
      </x:c>
      <x:c r="D298" s="2" t="str">
        <x:v>en</x:v>
      </x:c>
      <x:c r="E298" s="2"/>
      <x:c r="F298" s="2" t="n">
        <x:v>3</x:v>
      </x:c>
      <x:c r="G298" s="2" t="n">
        <x:v>0</x:v>
      </x:c>
      <x:c r="H298" s="2" t="n">
        <x:v>2</x:v>
      </x:c>
      <x:c r="I298" s="2" t="n">
        <x:v>0</x:v>
      </x:c>
      <x:c r="J298" s="7" t="n">
        <x:v>0.08491130000038538</x:v>
      </x:c>
      <x:c r="K298" s="7" t="n">
        <x:f>IF(G298&gt;0,1,0)</x:f>
        <x:v>0</x:v>
      </x:c>
      <x:c r="L298" s="7" t="n">
        <x:f>IF(E298="",0,1/E298)</x:f>
        <x:v>0</x:v>
      </x:c>
      <x:c r="M298" s="7" t="n">
        <x:f>G298/F298</x:f>
        <x:v>0</x:v>
      </x:c>
      <x:c r="N298" s="7" t="n">
        <x:f>I298/H298</x:f>
        <x:v>0</x:v>
      </x:c>
      <x:c r="O298" s="7" t="n">
        <x:f>IF(I298=H298,1,0)</x:f>
        <x:v>0</x:v>
      </x:c>
    </x:row>
    <x:row r="299" ht="23" customHeight="1">
      <x:c r="A299" s="2" t="str">
        <x:v>C011</x:v>
      </x:c>
      <x:c r="B299" s="2" t="str">
        <x:v>hybrid</x:v>
      </x:c>
      <x:c r="C299" s="2" t="str">
        <x:v>comparison</x:v>
      </x:c>
      <x:c r="D299" s="2" t="str">
        <x:v>en</x:v>
      </x:c>
      <x:c r="E299" s="2"/>
      <x:c r="F299" s="2" t="n">
        <x:v>3</x:v>
      </x:c>
      <x:c r="G299" s="2" t="n">
        <x:v>0</x:v>
      </x:c>
      <x:c r="H299" s="2" t="n">
        <x:v>2</x:v>
      </x:c>
      <x:c r="I299" s="2" t="n">
        <x:v>0</x:v>
      </x:c>
      <x:c r="J299" s="7" t="n">
        <x:v>0.15350500000204192</x:v>
      </x:c>
      <x:c r="K299" s="7" t="n">
        <x:f>IF(G299&gt;0,1,0)</x:f>
        <x:v>0</x:v>
      </x:c>
      <x:c r="L299" s="7" t="n">
        <x:f>IF(E299="",0,1/E299)</x:f>
        <x:v>0</x:v>
      </x:c>
      <x:c r="M299" s="7" t="n">
        <x:f>G299/F299</x:f>
        <x:v>0</x:v>
      </x:c>
      <x:c r="N299" s="7" t="n">
        <x:f>I299/H299</x:f>
        <x:v>0</x:v>
      </x:c>
      <x:c r="O299" s="7" t="n">
        <x:f>IF(I299=H299,1,0)</x:f>
        <x:v>0</x:v>
      </x:c>
    </x:row>
    <x:row r="300" ht="23" customHeight="1">
      <x:c r="A300" s="2" t="str">
        <x:v>C011</x:v>
      </x:c>
      <x:c r="B300" s="2" t="str">
        <x:v>rerank20</x:v>
      </x:c>
      <x:c r="C300" s="2" t="str">
        <x:v>comparison</x:v>
      </x:c>
      <x:c r="D300" s="2" t="str">
        <x:v>en</x:v>
      </x:c>
      <x:c r="E300" s="2"/>
      <x:c r="F300" s="2" t="n">
        <x:v>3</x:v>
      </x:c>
      <x:c r="G300" s="2" t="n">
        <x:v>0</x:v>
      </x:c>
      <x:c r="H300" s="2" t="n">
        <x:v>2</x:v>
      </x:c>
      <x:c r="I300" s="2" t="n">
        <x:v>0</x:v>
      </x:c>
      <x:c r="J300" s="7" t="n">
        <x:v>5.323397000000114</x:v>
      </x:c>
      <x:c r="K300" s="7" t="n">
        <x:f>IF(G300&gt;0,1,0)</x:f>
        <x:v>0</x:v>
      </x:c>
      <x:c r="L300" s="7" t="n">
        <x:f>IF(E300="",0,1/E300)</x:f>
        <x:v>0</x:v>
      </x:c>
      <x:c r="M300" s="7" t="n">
        <x:f>G300/F300</x:f>
        <x:v>0</x:v>
      </x:c>
      <x:c r="N300" s="7" t="n">
        <x:f>I300/H300</x:f>
        <x:v>0</x:v>
      </x:c>
      <x:c r="O300" s="7" t="n">
        <x:f>IF(I300=H300,1,0)</x:f>
        <x:v>0</x:v>
      </x:c>
    </x:row>
    <x:row r="301" ht="23" customHeight="1">
      <x:c r="A301" s="2" t="str">
        <x:v>C011</x:v>
      </x:c>
      <x:c r="B301" s="2" t="str">
        <x:v>rerank10</x:v>
      </x:c>
      <x:c r="C301" s="2" t="str">
        <x:v>comparison</x:v>
      </x:c>
      <x:c r="D301" s="2" t="str">
        <x:v>en</x:v>
      </x:c>
      <x:c r="E301" s="2"/>
      <x:c r="F301" s="2" t="n">
        <x:v>3</x:v>
      </x:c>
      <x:c r="G301" s="2" t="n">
        <x:v>0</x:v>
      </x:c>
      <x:c r="H301" s="2" t="n">
        <x:v>2</x:v>
      </x:c>
      <x:c r="I301" s="2" t="n">
        <x:v>0</x:v>
      </x:c>
      <x:c r="J301" s="7" t="n">
        <x:v>2.813516999998683</x:v>
      </x:c>
      <x:c r="K301" s="7" t="n">
        <x:f>IF(G301&gt;0,1,0)</x:f>
        <x:v>0</x:v>
      </x:c>
      <x:c r="L301" s="7" t="n">
        <x:f>IF(E301="",0,1/E301)</x:f>
        <x:v>0</x:v>
      </x:c>
      <x:c r="M301" s="7" t="n">
        <x:f>G301/F301</x:f>
        <x:v>0</x:v>
      </x:c>
      <x:c r="N301" s="7" t="n">
        <x:f>I301/H301</x:f>
        <x:v>0</x:v>
      </x:c>
      <x:c r="O301" s="7" t="n">
        <x:f>IF(I301=H301,1,0)</x:f>
        <x:v>0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2" hidden="0" customWidth="1"/>
    <x:col min="2" max="2" width="16" hidden="0" customWidth="1"/>
    <x:col min="3" max="3" width="15" hidden="0" customWidth="1"/>
    <x:col min="4" max="4" width="12" hidden="0" customWidth="1"/>
    <x:col min="5" max="5" width="18" hidden="0" customWidth="1"/>
    <x:col min="6" max="6" width="14" hidden="0" customWidth="1"/>
    <x:col min="7" max="7" width="19" hidden="0" customWidth="1"/>
    <x:col min="8" max="8" width="20" hidden="0" customWidth="1"/>
    <x:col min="9" max="9" width="20" hidden="0" customWidth="1"/>
    <x:col min="10" max="10" width="20" hidden="0" customWidth="1"/>
    <x:col min="11" max="11" width="18" hidden="0" customWidth="1"/>
    <x:col min="12" max="12" width="17" hidden="0" customWidth="1"/>
    <x:col min="13" max="13" width="19" hidden="0" customWidth="1"/>
    <x:col min="14" max="14" width="23" hidden="0" customWidth="1"/>
  </x:cols>
  <x:sheetData>
    <x:row r="1" ht="34" customHeight="1">
      <x:c r="A1" s="6" t="str">
        <x:v>题号</x:v>
      </x:c>
      <x:c r="B1" s="6" t="str">
        <x:v>配置</x:v>
      </x:c>
      <x:c r="C1" s="6" t="str">
        <x:v>类型</x:v>
      </x:c>
      <x:c r="D1" s="6" t="str">
        <x:v>问题语言</x:v>
      </x:c>
      <x:c r="E1" s="6" t="str">
        <x:v>工具选择正确</x:v>
      </x:c>
      <x:c r="F1" s="6" t="str">
        <x:v>ReAct轮次</x:v>
      </x:c>
      <x:c r="G1" s="6" t="str">
        <x:v>完整响应秒数</x:v>
      </x:c>
      <x:c r="H1" s="6" t="str">
        <x:v>已知输入Token</x:v>
      </x:c>
      <x:c r="I1" s="6" t="str">
        <x:v>已知输出Token</x:v>
      </x:c>
      <x:c r="J1" s="6" t="str">
        <x:v>缺失用量调用数</x:v>
      </x:c>
      <x:c r="K1" s="6" t="str">
        <x:v>实际总Token</x:v>
      </x:c>
      <x:c r="L1" s="6" t="str">
        <x:v>模型调用数</x:v>
      </x:c>
      <x:c r="M1" s="6" t="str">
        <x:v>自报任务完成</x:v>
      </x:c>
      <x:c r="N1" s="6" t="str">
        <x:v>终止原因</x:v>
      </x:c>
    </x:row>
    <x:row r="2" ht="23" customHeight="1">
      <x:c r="A2" s="2" t="str">
        <x:v>F001</x:v>
      </x:c>
      <x:c r="B2" s="2" t="str">
        <x:v>default</x:v>
      </x:c>
      <x:c r="C2" s="2" t="str">
        <x:v>fact</x:v>
      </x:c>
      <x:c r="D2" s="2" t="str">
        <x:v>zh</x:v>
      </x:c>
      <x:c r="E2" s="2" t="n">
        <x:v>1</x:v>
      </x:c>
      <x:c r="F2" s="2" t="n">
        <x:v>1</x:v>
      </x:c>
      <x:c r="G2" s="7" t="n">
        <x:v>10.433856699997705</x:v>
      </x:c>
      <x:c r="H2" s="2" t="n">
        <x:v>1475</x:v>
      </x:c>
      <x:c r="I2" s="2" t="n">
        <x:v>63</x:v>
      </x:c>
      <x:c r="J2" s="2" t="n">
        <x:v>0</x:v>
      </x:c>
      <x:c r="K2" s="2" t="n">
        <x:f>IF(J2&gt;0,"未知",SUM(H2:I2))</x:f>
        <x:v>1538</x:v>
      </x:c>
      <x:c r="L2" s="2" t="n">
        <x:v>1</x:v>
      </x:c>
      <x:c r="M2" s="2" t="n">
        <x:v>1</x:v>
      </x:c>
      <x:c r="N2" s="2" t="str">
        <x:v>task_complete</x:v>
      </x:c>
    </x:row>
    <x:row r="3" ht="23" customHeight="1">
      <x:c r="A3" s="2" t="str">
        <x:v>F001</x:v>
      </x:c>
      <x:c r="B3" s="2" t="str">
        <x:v>no_rules</x:v>
      </x:c>
      <x:c r="C3" s="2" t="str">
        <x:v>fact</x:v>
      </x:c>
      <x:c r="D3" s="2" t="str">
        <x:v>zh</x:v>
      </x:c>
      <x:c r="E3" s="2" t="n">
        <x:v>1</x:v>
      </x:c>
      <x:c r="F3" s="2" t="n">
        <x:v>1</x:v>
      </x:c>
      <x:c r="G3" s="7" t="n">
        <x:v>24.985000200002105</x:v>
      </x:c>
      <x:c r="H3" s="2" t="n">
        <x:v>9190</x:v>
      </x:c>
      <x:c r="I3" s="2" t="n">
        <x:v>275</x:v>
      </x:c>
      <x:c r="J3" s="2" t="n">
        <x:v>0</x:v>
      </x:c>
      <x:c r="K3" s="2" t="n">
        <x:f>IF(J3&gt;0,"未知",SUM(H3:I3))</x:f>
        <x:v>9465</x:v>
      </x:c>
      <x:c r="L3" s="2" t="n">
        <x:v>4</x:v>
      </x:c>
      <x:c r="M3" s="2" t="n">
        <x:v>1</x:v>
      </x:c>
      <x:c r="N3" s="2" t="str">
        <x:v>task_complete</x:v>
      </x:c>
    </x:row>
    <x:row r="4" ht="23" customHeight="1">
      <x:c r="A4" s="2" t="str">
        <x:v>F002</x:v>
      </x:c>
      <x:c r="B4" s="2" t="str">
        <x:v>no_rules</x:v>
      </x:c>
      <x:c r="C4" s="2" t="str">
        <x:v>fact</x:v>
      </x:c>
      <x:c r="D4" s="2" t="str">
        <x:v>en</x:v>
      </x:c>
      <x:c r="E4" s="2" t="n">
        <x:v>0</x:v>
      </x:c>
      <x:c r="F4" s="2" t="n">
        <x:v>2</x:v>
      </x:c>
      <x:c r="G4" s="7" t="n">
        <x:v>52.303114899998036</x:v>
      </x:c>
      <x:c r="H4" s="2" t="n">
        <x:v>20588</x:v>
      </x:c>
      <x:c r="I4" s="2" t="n">
        <x:v>506</x:v>
      </x:c>
      <x:c r="J4" s="2" t="n">
        <x:v>0</x:v>
      </x:c>
      <x:c r="K4" s="2" t="n">
        <x:f>IF(J4&gt;0,"未知",SUM(H4:I4))</x:f>
        <x:v>21094</x:v>
      </x:c>
      <x:c r="L4" s="2" t="n">
        <x:v>7</x:v>
      </x:c>
      <x:c r="M4" s="2" t="n">
        <x:v>0</x:v>
      </x:c>
      <x:c r="N4" s="2" t="str">
        <x:v>error</x:v>
      </x:c>
    </x:row>
    <x:row r="5" ht="23" customHeight="1">
      <x:c r="A5" s="2" t="str">
        <x:v>F002</x:v>
      </x:c>
      <x:c r="B5" s="2" t="str">
        <x:v>default</x:v>
      </x:c>
      <x:c r="C5" s="2" t="str">
        <x:v>fact</x:v>
      </x:c>
      <x:c r="D5" s="2" t="str">
        <x:v>en</x:v>
      </x:c>
      <x:c r="E5" s="2" t="n">
        <x:v>1</x:v>
      </x:c>
      <x:c r="F5" s="2" t="n">
        <x:v>2</x:v>
      </x:c>
      <x:c r="G5" s="7" t="n">
        <x:v>32.365914499998325</x:v>
      </x:c>
      <x:c r="H5" s="2" t="n">
        <x:v>14392</x:v>
      </x:c>
      <x:c r="I5" s="2" t="n">
        <x:v>247</x:v>
      </x:c>
      <x:c r="J5" s="2" t="n">
        <x:v>0</x:v>
      </x:c>
      <x:c r="K5" s="2" t="n">
        <x:f>IF(J5&gt;0,"未知",SUM(H5:I5))</x:f>
        <x:v>14639</x:v>
      </x:c>
      <x:c r="L5" s="2" t="n">
        <x:v>6</x:v>
      </x:c>
      <x:c r="M5" s="2" t="n">
        <x:v>0</x:v>
      </x:c>
      <x:c r="N5" s="2" t="str">
        <x:v>incomplete</x:v>
      </x:c>
    </x:row>
    <x:row r="6" ht="23" customHeight="1">
      <x:c r="A6" s="2" t="str">
        <x:v>F003</x:v>
      </x:c>
      <x:c r="B6" s="2" t="str">
        <x:v>default</x:v>
      </x:c>
      <x:c r="C6" s="2" t="str">
        <x:v>fact</x:v>
      </x:c>
      <x:c r="D6" s="2" t="str">
        <x:v>zh</x:v>
      </x:c>
      <x:c r="E6" s="2" t="n">
        <x:v>1</x:v>
      </x:c>
      <x:c r="F6" s="2" t="n">
        <x:v>1</x:v>
      </x:c>
      <x:c r="G6" s="7" t="n">
        <x:v>26.46707140000217</x:v>
      </x:c>
      <x:c r="H6" s="2" t="n">
        <x:v>9046</x:v>
      </x:c>
      <x:c r="I6" s="2" t="n">
        <x:v>282</x:v>
      </x:c>
      <x:c r="J6" s="2" t="n">
        <x:v>0</x:v>
      </x:c>
      <x:c r="K6" s="2" t="n">
        <x:f>IF(J6&gt;0,"未知",SUM(H6:I6))</x:f>
        <x:v>9328</x:v>
      </x:c>
      <x:c r="L6" s="2" t="n">
        <x:v>4</x:v>
      </x:c>
      <x:c r="M6" s="2" t="n">
        <x:v>1</x:v>
      </x:c>
      <x:c r="N6" s="2" t="str">
        <x:v>task_complete</x:v>
      </x:c>
    </x:row>
    <x:row r="7" ht="23" customHeight="1">
      <x:c r="A7" s="2" t="str">
        <x:v>F003</x:v>
      </x:c>
      <x:c r="B7" s="2" t="str">
        <x:v>no_rules</x:v>
      </x:c>
      <x:c r="C7" s="2" t="str">
        <x:v>fact</x:v>
      </x:c>
      <x:c r="D7" s="2" t="str">
        <x:v>zh</x:v>
      </x:c>
      <x:c r="E7" s="2" t="n">
        <x:v>1</x:v>
      </x:c>
      <x:c r="F7" s="2" t="n">
        <x:v>1</x:v>
      </x:c>
      <x:c r="G7" s="7" t="n">
        <x:v>27.11810450000121</x:v>
      </x:c>
      <x:c r="H7" s="2" t="n">
        <x:v>9040</x:v>
      </x:c>
      <x:c r="I7" s="2" t="n">
        <x:v>319</x:v>
      </x:c>
      <x:c r="J7" s="2" t="n">
        <x:v>0</x:v>
      </x:c>
      <x:c r="K7" s="2" t="n">
        <x:f>IF(J7&gt;0,"未知",SUM(H7:I7))</x:f>
        <x:v>9359</x:v>
      </x:c>
      <x:c r="L7" s="2" t="n">
        <x:v>4</x:v>
      </x:c>
      <x:c r="M7" s="2" t="n">
        <x:v>1</x:v>
      </x:c>
      <x:c r="N7" s="2" t="str">
        <x:v>task_complete</x:v>
      </x:c>
    </x:row>
    <x:row r="8" ht="23" customHeight="1">
      <x:c r="A8" s="2" t="str">
        <x:v>F004</x:v>
      </x:c>
      <x:c r="B8" s="2" t="str">
        <x:v>no_rules</x:v>
      </x:c>
      <x:c r="C8" s="2" t="str">
        <x:v>fact</x:v>
      </x:c>
      <x:c r="D8" s="2" t="str">
        <x:v>en</x:v>
      </x:c>
      <x:c r="E8" s="2" t="n">
        <x:v>1</x:v>
      </x:c>
      <x:c r="F8" s="2" t="n">
        <x:v>3</x:v>
      </x:c>
      <x:c r="G8" s="7" t="n">
        <x:v>72.10263560000021</x:v>
      </x:c>
      <x:c r="H8" s="2" t="n">
        <x:v>29127</x:v>
      </x:c>
      <x:c r="I8" s="2" t="n">
        <x:v>565</x:v>
      </x:c>
      <x:c r="J8" s="2" t="n">
        <x:v>0</x:v>
      </x:c>
      <x:c r="K8" s="2" t="n">
        <x:f>IF(J8&gt;0,"未知",SUM(H8:I8))</x:f>
        <x:v>29692</x:v>
      </x:c>
      <x:c r="L8" s="2" t="n">
        <x:v>10</x:v>
      </x:c>
      <x:c r="M8" s="2" t="n">
        <x:v>1</x:v>
      </x:c>
      <x:c r="N8" s="2" t="str">
        <x:v>task_complete</x:v>
      </x:c>
    </x:row>
    <x:row r="9" ht="23" customHeight="1">
      <x:c r="A9" s="2" t="str">
        <x:v>F004</x:v>
      </x:c>
      <x:c r="B9" s="2" t="str">
        <x:v>default</x:v>
      </x:c>
      <x:c r="C9" s="2" t="str">
        <x:v>fact</x:v>
      </x:c>
      <x:c r="D9" s="2" t="str">
        <x:v>en</x:v>
      </x:c>
      <x:c r="E9" s="2" t="n">
        <x:v>1</x:v>
      </x:c>
      <x:c r="F9" s="2" t="n">
        <x:v>2</x:v>
      </x:c>
      <x:c r="G9" s="7" t="n">
        <x:v>40.88785149999967</x:v>
      </x:c>
      <x:c r="H9" s="2" t="n">
        <x:v>14700</x:v>
      </x:c>
      <x:c r="I9" s="2" t="n">
        <x:v>286</x:v>
      </x:c>
      <x:c r="J9" s="2" t="n">
        <x:v>0</x:v>
      </x:c>
      <x:c r="K9" s="2" t="n">
        <x:f>IF(J9&gt;0,"未知",SUM(H9:I9))</x:f>
        <x:v>14986</x:v>
      </x:c>
      <x:c r="L9" s="2" t="n">
        <x:v>6</x:v>
      </x:c>
      <x:c r="M9" s="2" t="n">
        <x:v>1</x:v>
      </x:c>
      <x:c r="N9" s="2" t="str">
        <x:v>task_complete</x:v>
      </x:c>
    </x:row>
    <x:row r="10" ht="23" customHeight="1">
      <x:c r="A10" s="2" t="str">
        <x:v>F005</x:v>
      </x:c>
      <x:c r="B10" s="2" t="str">
        <x:v>default</x:v>
      </x:c>
      <x:c r="C10" s="2" t="str">
        <x:v>fact</x:v>
      </x:c>
      <x:c r="D10" s="2" t="str">
        <x:v>zh</x:v>
      </x:c>
      <x:c r="E10" s="2" t="n">
        <x:v>0</x:v>
      </x:c>
      <x:c r="F10" s="2" t="n">
        <x:v>1</x:v>
      </x:c>
      <x:c r="G10" s="7" t="n">
        <x:v>4.952398000001267</x:v>
      </x:c>
      <x:c r="H10" s="2" t="n">
        <x:v>2369</x:v>
      </x:c>
      <x:c r="I10" s="2" t="n">
        <x:v>82</x:v>
      </x:c>
      <x:c r="J10" s="2" t="n">
        <x:v>0</x:v>
      </x:c>
      <x:c r="K10" s="2" t="n">
        <x:f>IF(J10&gt;0,"未知",SUM(H10:I10))</x:f>
        <x:v>2451</x:v>
      </x:c>
      <x:c r="L10" s="2" t="n">
        <x:v>1</x:v>
      </x:c>
      <x:c r="M10" s="2" t="n">
        <x:v>1</x:v>
      </x:c>
      <x:c r="N10" s="2" t="str">
        <x:v>task_complete</x:v>
      </x:c>
    </x:row>
    <x:row r="11" ht="23" customHeight="1">
      <x:c r="A11" s="2" t="str">
        <x:v>F005</x:v>
      </x:c>
      <x:c r="B11" s="2" t="str">
        <x:v>no_rules</x:v>
      </x:c>
      <x:c r="C11" s="2" t="str">
        <x:v>fact</x:v>
      </x:c>
      <x:c r="D11" s="2" t="str">
        <x:v>zh</x:v>
      </x:c>
      <x:c r="E11" s="2" t="n">
        <x:v>1</x:v>
      </x:c>
      <x:c r="F11" s="2" t="n">
        <x:v>1</x:v>
      </x:c>
      <x:c r="G11" s="7" t="n">
        <x:v>25.4692157999998</x:v>
      </x:c>
      <x:c r="H11" s="2" t="n">
        <x:v>9759</x:v>
      </x:c>
      <x:c r="I11" s="2" t="n">
        <x:v>222</x:v>
      </x:c>
      <x:c r="J11" s="2" t="n">
        <x:v>0</x:v>
      </x:c>
      <x:c r="K11" s="2" t="n">
        <x:f>IF(J11&gt;0,"未知",SUM(H11:I11))</x:f>
        <x:v>9981</x:v>
      </x:c>
      <x:c r="L11" s="2" t="n">
        <x:v>4</x:v>
      </x:c>
      <x:c r="M11" s="2" t="n">
        <x:v>1</x:v>
      </x:c>
      <x:c r="N11" s="2" t="str">
        <x:v>task_complete</x:v>
      </x:c>
    </x:row>
    <x:row r="12" ht="23" customHeight="1">
      <x:c r="A12" s="2" t="str">
        <x:v>F006</x:v>
      </x:c>
      <x:c r="B12" s="2" t="str">
        <x:v>no_rules</x:v>
      </x:c>
      <x:c r="C12" s="2" t="str">
        <x:v>fact</x:v>
      </x:c>
      <x:c r="D12" s="2" t="str">
        <x:v>en</x:v>
      </x:c>
      <x:c r="E12" s="2" t="n">
        <x:v>1</x:v>
      </x:c>
      <x:c r="F12" s="2" t="n">
        <x:v>1</x:v>
      </x:c>
      <x:c r="G12" s="7" t="n">
        <x:v>24.891111299999466</x:v>
      </x:c>
      <x:c r="H12" s="2" t="n">
        <x:v>9311</x:v>
      </x:c>
      <x:c r="I12" s="2" t="n">
        <x:v>242</x:v>
      </x:c>
      <x:c r="J12" s="2" t="n">
        <x:v>0</x:v>
      </x:c>
      <x:c r="K12" s="2" t="n">
        <x:f>IF(J12&gt;0,"未知",SUM(H12:I12))</x:f>
        <x:v>9553</x:v>
      </x:c>
      <x:c r="L12" s="2" t="n">
        <x:v>4</x:v>
      </x:c>
      <x:c r="M12" s="2" t="n">
        <x:v>1</x:v>
      </x:c>
      <x:c r="N12" s="2" t="str">
        <x:v>task_complete</x:v>
      </x:c>
    </x:row>
    <x:row r="13" ht="23" customHeight="1">
      <x:c r="A13" s="2" t="str">
        <x:v>F006</x:v>
      </x:c>
      <x:c r="B13" s="2" t="str">
        <x:v>default</x:v>
      </x:c>
      <x:c r="C13" s="2" t="str">
        <x:v>fact</x:v>
      </x:c>
      <x:c r="D13" s="2" t="str">
        <x:v>en</x:v>
      </x:c>
      <x:c r="E13" s="2" t="n">
        <x:v>1</x:v>
      </x:c>
      <x:c r="F13" s="2" t="n">
        <x:v>1</x:v>
      </x:c>
      <x:c r="G13" s="7" t="n">
        <x:v>23.16370829999869</x:v>
      </x:c>
      <x:c r="H13" s="2" t="n">
        <x:v>9312</x:v>
      </x:c>
      <x:c r="I13" s="2" t="n">
        <x:v>221</x:v>
      </x:c>
      <x:c r="J13" s="2" t="n">
        <x:v>0</x:v>
      </x:c>
      <x:c r="K13" s="2" t="n">
        <x:f>IF(J13&gt;0,"未知",SUM(H13:I13))</x:f>
        <x:v>9533</x:v>
      </x:c>
      <x:c r="L13" s="2" t="n">
        <x:v>4</x:v>
      </x:c>
      <x:c r="M13" s="2" t="n">
        <x:v>1</x:v>
      </x:c>
      <x:c r="N13" s="2" t="str">
        <x:v>task_complete</x:v>
      </x:c>
    </x:row>
    <x:row r="14" ht="23" customHeight="1">
      <x:c r="A14" s="2" t="str">
        <x:v>F007</x:v>
      </x:c>
      <x:c r="B14" s="2" t="str">
        <x:v>default</x:v>
      </x:c>
      <x:c r="C14" s="2" t="str">
        <x:v>fact</x:v>
      </x:c>
      <x:c r="D14" s="2" t="str">
        <x:v>zh</x:v>
      </x:c>
      <x:c r="E14" s="2" t="n">
        <x:v>1</x:v>
      </x:c>
      <x:c r="F14" s="2" t="n">
        <x:v>1</x:v>
      </x:c>
      <x:c r="G14" s="7" t="n">
        <x:v>29.214167800000723</x:v>
      </x:c>
      <x:c r="H14" s="2" t="n">
        <x:v>9406</x:v>
      </x:c>
      <x:c r="I14" s="2" t="n">
        <x:v>275</x:v>
      </x:c>
      <x:c r="J14" s="2" t="n">
        <x:v>0</x:v>
      </x:c>
      <x:c r="K14" s="2" t="n">
        <x:f>IF(J14&gt;0,"未知",SUM(H14:I14))</x:f>
        <x:v>9681</x:v>
      </x:c>
      <x:c r="L14" s="2" t="n">
        <x:v>4</x:v>
      </x:c>
      <x:c r="M14" s="2" t="n">
        <x:v>1</x:v>
      </x:c>
      <x:c r="N14" s="2" t="str">
        <x:v>task_complete</x:v>
      </x:c>
    </x:row>
    <x:row r="15" ht="23" customHeight="1">
      <x:c r="A15" s="2" t="str">
        <x:v>F007</x:v>
      </x:c>
      <x:c r="B15" s="2" t="str">
        <x:v>no_rules</x:v>
      </x:c>
      <x:c r="C15" s="2" t="str">
        <x:v>fact</x:v>
      </x:c>
      <x:c r="D15" s="2" t="str">
        <x:v>zh</x:v>
      </x:c>
      <x:c r="E15" s="2" t="n">
        <x:v>1</x:v>
      </x:c>
      <x:c r="F15" s="2" t="n">
        <x:v>1</x:v>
      </x:c>
      <x:c r="G15" s="7" t="n">
        <x:v>28.221083500000532</x:v>
      </x:c>
      <x:c r="H15" s="2" t="n">
        <x:v>9421</x:v>
      </x:c>
      <x:c r="I15" s="2" t="n">
        <x:v>282</x:v>
      </x:c>
      <x:c r="J15" s="2" t="n">
        <x:v>0</x:v>
      </x:c>
      <x:c r="K15" s="2" t="n">
        <x:f>IF(J15&gt;0,"未知",SUM(H15:I15))</x:f>
        <x:v>9703</x:v>
      </x:c>
      <x:c r="L15" s="2" t="n">
        <x:v>4</x:v>
      </x:c>
      <x:c r="M15" s="2" t="n">
        <x:v>1</x:v>
      </x:c>
      <x:c r="N15" s="2" t="str">
        <x:v>task_complete</x:v>
      </x:c>
    </x:row>
    <x:row r="16" ht="23" customHeight="1">
      <x:c r="A16" s="2" t="str">
        <x:v>F008</x:v>
      </x:c>
      <x:c r="B16" s="2" t="str">
        <x:v>no_rules</x:v>
      </x:c>
      <x:c r="C16" s="2" t="str">
        <x:v>fact</x:v>
      </x:c>
      <x:c r="D16" s="2" t="str">
        <x:v>en</x:v>
      </x:c>
      <x:c r="E16" s="2" t="n">
        <x:v>1</x:v>
      </x:c>
      <x:c r="F16" s="2" t="n">
        <x:v>1</x:v>
      </x:c>
      <x:c r="G16" s="7" t="n">
        <x:v>22.190605399999185</x:v>
      </x:c>
      <x:c r="H16" s="2" t="n">
        <x:v>8948</x:v>
      </x:c>
      <x:c r="I16" s="2" t="n">
        <x:v>212</x:v>
      </x:c>
      <x:c r="J16" s="2" t="n">
        <x:v>0</x:v>
      </x:c>
      <x:c r="K16" s="2" t="n">
        <x:f>IF(J16&gt;0,"未知",SUM(H16:I16))</x:f>
        <x:v>9160</x:v>
      </x:c>
      <x:c r="L16" s="2" t="n">
        <x:v>4</x:v>
      </x:c>
      <x:c r="M16" s="2" t="n">
        <x:v>1</x:v>
      </x:c>
      <x:c r="N16" s="2" t="str">
        <x:v>task_complete</x:v>
      </x:c>
    </x:row>
    <x:row r="17" ht="23" customHeight="1">
      <x:c r="A17" s="2" t="str">
        <x:v>F008</x:v>
      </x:c>
      <x:c r="B17" s="2" t="str">
        <x:v>default</x:v>
      </x:c>
      <x:c r="C17" s="2" t="str">
        <x:v>fact</x:v>
      </x:c>
      <x:c r="D17" s="2" t="str">
        <x:v>en</x:v>
      </x:c>
      <x:c r="E17" s="2" t="n">
        <x:v>1</x:v>
      </x:c>
      <x:c r="F17" s="2" t="n">
        <x:v>1</x:v>
      </x:c>
      <x:c r="G17" s="7" t="n">
        <x:v>21.64330179999888</x:v>
      </x:c>
      <x:c r="H17" s="2" t="n">
        <x:v>8942</x:v>
      </x:c>
      <x:c r="I17" s="2" t="n">
        <x:v>205</x:v>
      </x:c>
      <x:c r="J17" s="2" t="n">
        <x:v>0</x:v>
      </x:c>
      <x:c r="K17" s="2" t="n">
        <x:f>IF(J17&gt;0,"未知",SUM(H17:I17))</x:f>
        <x:v>9147</x:v>
      </x:c>
      <x:c r="L17" s="2" t="n">
        <x:v>4</x:v>
      </x:c>
      <x:c r="M17" s="2" t="n">
        <x:v>1</x:v>
      </x:c>
      <x:c r="N17" s="2" t="str">
        <x:v>task_complete</x:v>
      </x:c>
    </x:row>
    <x:row r="18" ht="23" customHeight="1">
      <x:c r="A18" s="2" t="str">
        <x:v>F009</x:v>
      </x:c>
      <x:c r="B18" s="2" t="str">
        <x:v>default</x:v>
      </x:c>
      <x:c r="C18" s="2" t="str">
        <x:v>fact</x:v>
      </x:c>
      <x:c r="D18" s="2" t="str">
        <x:v>zh</x:v>
      </x:c>
      <x:c r="E18" s="2" t="n">
        <x:v>1</x:v>
      </x:c>
      <x:c r="F18" s="2" t="n">
        <x:v>1</x:v>
      </x:c>
      <x:c r="G18" s="7" t="n">
        <x:v>37.610249700002896</x:v>
      </x:c>
      <x:c r="H18" s="2" t="n">
        <x:v>11163</x:v>
      </x:c>
      <x:c r="I18" s="2" t="n">
        <x:v>380</x:v>
      </x:c>
      <x:c r="J18" s="2" t="n">
        <x:v>0</x:v>
      </x:c>
      <x:c r="K18" s="2" t="n">
        <x:f>IF(J18&gt;0,"未知",SUM(H18:I18))</x:f>
        <x:v>11543</x:v>
      </x:c>
      <x:c r="L18" s="2" t="n">
        <x:v>4</x:v>
      </x:c>
      <x:c r="M18" s="2" t="n">
        <x:v>1</x:v>
      </x:c>
      <x:c r="N18" s="2" t="str">
        <x:v>task_complete</x:v>
      </x:c>
    </x:row>
    <x:row r="19" ht="23" customHeight="1">
      <x:c r="A19" s="2" t="str">
        <x:v>F009</x:v>
      </x:c>
      <x:c r="B19" s="2" t="str">
        <x:v>no_rules</x:v>
      </x:c>
      <x:c r="C19" s="2" t="str">
        <x:v>fact</x:v>
      </x:c>
      <x:c r="D19" s="2" t="str">
        <x:v>zh</x:v>
      </x:c>
      <x:c r="E19" s="2" t="n">
        <x:v>1</x:v>
      </x:c>
      <x:c r="F19" s="2" t="n">
        <x:v>1</x:v>
      </x:c>
      <x:c r="G19" s="7" t="n">
        <x:v>35.9097984</x:v>
      </x:c>
      <x:c r="H19" s="2" t="n">
        <x:v>11161</x:v>
      </x:c>
      <x:c r="I19" s="2" t="n">
        <x:v>370</x:v>
      </x:c>
      <x:c r="J19" s="2" t="n">
        <x:v>0</x:v>
      </x:c>
      <x:c r="K19" s="2" t="n">
        <x:f>IF(J19&gt;0,"未知",SUM(H19:I19))</x:f>
        <x:v>11531</x:v>
      </x:c>
      <x:c r="L19" s="2" t="n">
        <x:v>4</x:v>
      </x:c>
      <x:c r="M19" s="2" t="n">
        <x:v>1</x:v>
      </x:c>
      <x:c r="N19" s="2" t="str">
        <x:v>task_complete</x:v>
      </x:c>
    </x:row>
    <x:row r="20" ht="23" customHeight="1">
      <x:c r="A20" s="2" t="str">
        <x:v>F010</x:v>
      </x:c>
      <x:c r="B20" s="2" t="str">
        <x:v>no_rules</x:v>
      </x:c>
      <x:c r="C20" s="2" t="str">
        <x:v>fact</x:v>
      </x:c>
      <x:c r="D20" s="2" t="str">
        <x:v>en</x:v>
      </x:c>
      <x:c r="E20" s="2" t="n">
        <x:v>1</x:v>
      </x:c>
      <x:c r="F20" s="2" t="n">
        <x:v>1</x:v>
      </x:c>
      <x:c r="G20" s="7" t="n">
        <x:v>27.07785110000259</x:v>
      </x:c>
      <x:c r="H20" s="2" t="n">
        <x:v>9288</x:v>
      </x:c>
      <x:c r="I20" s="2" t="n">
        <x:v>294</x:v>
      </x:c>
      <x:c r="J20" s="2" t="n">
        <x:v>0</x:v>
      </x:c>
      <x:c r="K20" s="2" t="n">
        <x:f>IF(J20&gt;0,"未知",SUM(H20:I20))</x:f>
        <x:v>9582</x:v>
      </x:c>
      <x:c r="L20" s="2" t="n">
        <x:v>4</x:v>
      </x:c>
      <x:c r="M20" s="2" t="n">
        <x:v>1</x:v>
      </x:c>
      <x:c r="N20" s="2" t="str">
        <x:v>task_complete</x:v>
      </x:c>
    </x:row>
    <x:row r="21" ht="23" customHeight="1">
      <x:c r="A21" s="2" t="str">
        <x:v>F010</x:v>
      </x:c>
      <x:c r="B21" s="2" t="str">
        <x:v>default</x:v>
      </x:c>
      <x:c r="C21" s="2" t="str">
        <x:v>fact</x:v>
      </x:c>
      <x:c r="D21" s="2" t="str">
        <x:v>en</x:v>
      </x:c>
      <x:c r="E21" s="2" t="n">
        <x:v>1</x:v>
      </x:c>
      <x:c r="F21" s="2" t="n">
        <x:v>1</x:v>
      </x:c>
      <x:c r="G21" s="7" t="n">
        <x:v>25.09110099999816</x:v>
      </x:c>
      <x:c r="H21" s="2" t="n">
        <x:v>9283</x:v>
      </x:c>
      <x:c r="I21" s="2" t="n">
        <x:v>295</x:v>
      </x:c>
      <x:c r="J21" s="2" t="n">
        <x:v>0</x:v>
      </x:c>
      <x:c r="K21" s="2" t="n">
        <x:f>IF(J21&gt;0,"未知",SUM(H21:I21))</x:f>
        <x:v>9578</x:v>
      </x:c>
      <x:c r="L21" s="2" t="n">
        <x:v>4</x:v>
      </x:c>
      <x:c r="M21" s="2" t="n">
        <x:v>1</x:v>
      </x:c>
      <x:c r="N21" s="2" t="str">
        <x:v>task_complete</x:v>
      </x:c>
    </x:row>
    <x:row r="22" ht="23" customHeight="1">
      <x:c r="A22" s="2" t="str">
        <x:v>F011</x:v>
      </x:c>
      <x:c r="B22" s="2" t="str">
        <x:v>default</x:v>
      </x:c>
      <x:c r="C22" s="2" t="str">
        <x:v>fact</x:v>
      </x:c>
      <x:c r="D22" s="2" t="str">
        <x:v>zh</x:v>
      </x:c>
      <x:c r="E22" s="2" t="n">
        <x:v>1</x:v>
      </x:c>
      <x:c r="F22" s="2" t="n">
        <x:v>1</x:v>
      </x:c>
      <x:c r="G22" s="7" t="n">
        <x:v>34.18612789999679</x:v>
      </x:c>
      <x:c r="H22" s="2" t="n">
        <x:v>9592</x:v>
      </x:c>
      <x:c r="I22" s="2" t="n">
        <x:v>305</x:v>
      </x:c>
      <x:c r="J22" s="2" t="n">
        <x:v>0</x:v>
      </x:c>
      <x:c r="K22" s="2" t="n">
        <x:f>IF(J22&gt;0,"未知",SUM(H22:I22))</x:f>
        <x:v>9897</x:v>
      </x:c>
      <x:c r="L22" s="2" t="n">
        <x:v>4</x:v>
      </x:c>
      <x:c r="M22" s="2" t="n">
        <x:v>1</x:v>
      </x:c>
      <x:c r="N22" s="2" t="str">
        <x:v>task_complete</x:v>
      </x:c>
    </x:row>
    <x:row r="23" ht="23" customHeight="1">
      <x:c r="A23" s="2" t="str">
        <x:v>F011</x:v>
      </x:c>
      <x:c r="B23" s="2" t="str">
        <x:v>no_rules</x:v>
      </x:c>
      <x:c r="C23" s="2" t="str">
        <x:v>fact</x:v>
      </x:c>
      <x:c r="D23" s="2" t="str">
        <x:v>zh</x:v>
      </x:c>
      <x:c r="E23" s="2" t="n">
        <x:v>1</x:v>
      </x:c>
      <x:c r="F23" s="2" t="n">
        <x:v>1</x:v>
      </x:c>
      <x:c r="G23" s="7" t="n">
        <x:v>34.7550768000001</x:v>
      </x:c>
      <x:c r="H23" s="2" t="n">
        <x:v>9595</x:v>
      </x:c>
      <x:c r="I23" s="2" t="n">
        <x:v>333</x:v>
      </x:c>
      <x:c r="J23" s="2" t="n">
        <x:v>0</x:v>
      </x:c>
      <x:c r="K23" s="2" t="n">
        <x:f>IF(J23&gt;0,"未知",SUM(H23:I23))</x:f>
        <x:v>9928</x:v>
      </x:c>
      <x:c r="L23" s="2" t="n">
        <x:v>4</x:v>
      </x:c>
      <x:c r="M23" s="2" t="n">
        <x:v>1</x:v>
      </x:c>
      <x:c r="N23" s="2" t="str">
        <x:v>task_complete</x:v>
      </x:c>
    </x:row>
    <x:row r="24" ht="23" customHeight="1">
      <x:c r="A24" s="2" t="str">
        <x:v>F012</x:v>
      </x:c>
      <x:c r="B24" s="2" t="str">
        <x:v>no_rules</x:v>
      </x:c>
      <x:c r="C24" s="2" t="str">
        <x:v>fact</x:v>
      </x:c>
      <x:c r="D24" s="2" t="str">
        <x:v>en</x:v>
      </x:c>
      <x:c r="E24" s="2" t="n">
        <x:v>1</x:v>
      </x:c>
      <x:c r="F24" s="2" t="n">
        <x:v>1</x:v>
      </x:c>
      <x:c r="G24" s="7" t="n">
        <x:v>26.518094599996402</x:v>
      </x:c>
      <x:c r="H24" s="2" t="n">
        <x:v>9398</x:v>
      </x:c>
      <x:c r="I24" s="2" t="n">
        <x:v>280</x:v>
      </x:c>
      <x:c r="J24" s="2" t="n">
        <x:v>0</x:v>
      </x:c>
      <x:c r="K24" s="2" t="n">
        <x:f>IF(J24&gt;0,"未知",SUM(H24:I24))</x:f>
        <x:v>9678</x:v>
      </x:c>
      <x:c r="L24" s="2" t="n">
        <x:v>4</x:v>
      </x:c>
      <x:c r="M24" s="2" t="n">
        <x:v>1</x:v>
      </x:c>
      <x:c r="N24" s="2" t="str">
        <x:v>task_complete</x:v>
      </x:c>
    </x:row>
    <x:row r="25" ht="23" customHeight="1">
      <x:c r="A25" s="2" t="str">
        <x:v>F012</x:v>
      </x:c>
      <x:c r="B25" s="2" t="str">
        <x:v>default</x:v>
      </x:c>
      <x:c r="C25" s="2" t="str">
        <x:v>fact</x:v>
      </x:c>
      <x:c r="D25" s="2" t="str">
        <x:v>en</x:v>
      </x:c>
      <x:c r="E25" s="2" t="n">
        <x:v>1</x:v>
      </x:c>
      <x:c r="F25" s="2" t="n">
        <x:v>1</x:v>
      </x:c>
      <x:c r="G25" s="7" t="n">
        <x:v>11.185301100002107</x:v>
      </x:c>
      <x:c r="H25" s="2" t="n">
        <x:v>1576</x:v>
      </x:c>
      <x:c r="I25" s="2" t="n">
        <x:v>94</x:v>
      </x:c>
      <x:c r="J25" s="2" t="n">
        <x:v>0</x:v>
      </x:c>
      <x:c r="K25" s="2" t="n">
        <x:f>IF(J25&gt;0,"未知",SUM(H25:I25))</x:f>
        <x:v>1670</x:v>
      </x:c>
      <x:c r="L25" s="2" t="n">
        <x:v>1</x:v>
      </x:c>
      <x:c r="M25" s="2" t="n">
        <x:v>1</x:v>
      </x:c>
      <x:c r="N25" s="2" t="str">
        <x:v>task_complete</x:v>
      </x:c>
    </x:row>
    <x:row r="26" ht="23" customHeight="1">
      <x:c r="A26" s="2" t="str">
        <x:v>F013</x:v>
      </x:c>
      <x:c r="B26" s="2" t="str">
        <x:v>default</x:v>
      </x:c>
      <x:c r="C26" s="2" t="str">
        <x:v>fact</x:v>
      </x:c>
      <x:c r="D26" s="2" t="str">
        <x:v>zh</x:v>
      </x:c>
      <x:c r="E26" s="2" t="n">
        <x:v>1</x:v>
      </x:c>
      <x:c r="F26" s="2" t="n">
        <x:v>1</x:v>
      </x:c>
      <x:c r="G26" s="7" t="n">
        <x:v>28.05944329999693</x:v>
      </x:c>
      <x:c r="H26" s="2" t="n">
        <x:v>8874</x:v>
      </x:c>
      <x:c r="I26" s="2" t="n">
        <x:v>313</x:v>
      </x:c>
      <x:c r="J26" s="2" t="n">
        <x:v>0</x:v>
      </x:c>
      <x:c r="K26" s="2" t="n">
        <x:f>IF(J26&gt;0,"未知",SUM(H26:I26))</x:f>
        <x:v>9187</x:v>
      </x:c>
      <x:c r="L26" s="2" t="n">
        <x:v>4</x:v>
      </x:c>
      <x:c r="M26" s="2" t="n">
        <x:v>1</x:v>
      </x:c>
      <x:c r="N26" s="2" t="str">
        <x:v>task_complete</x:v>
      </x:c>
    </x:row>
    <x:row r="27" ht="23" customHeight="1">
      <x:c r="A27" s="2" t="str">
        <x:v>F013</x:v>
      </x:c>
      <x:c r="B27" s="2" t="str">
        <x:v>no_rules</x:v>
      </x:c>
      <x:c r="C27" s="2" t="str">
        <x:v>fact</x:v>
      </x:c>
      <x:c r="D27" s="2" t="str">
        <x:v>zh</x:v>
      </x:c>
      <x:c r="E27" s="2" t="n">
        <x:v>1</x:v>
      </x:c>
      <x:c r="F27" s="2" t="n">
        <x:v>1</x:v>
      </x:c>
      <x:c r="G27" s="7" t="n">
        <x:v>29.114162199999555</x:v>
      </x:c>
      <x:c r="H27" s="2" t="n">
        <x:v>9273</x:v>
      </x:c>
      <x:c r="I27" s="2" t="n">
        <x:v>346</x:v>
      </x:c>
      <x:c r="J27" s="2" t="n">
        <x:v>0</x:v>
      </x:c>
      <x:c r="K27" s="2" t="n">
        <x:f>IF(J27&gt;0,"未知",SUM(H27:I27))</x:f>
        <x:v>9619</x:v>
      </x:c>
      <x:c r="L27" s="2" t="n">
        <x:v>4</x:v>
      </x:c>
      <x:c r="M27" s="2" t="n">
        <x:v>1</x:v>
      </x:c>
      <x:c r="N27" s="2" t="str">
        <x:v>task_complete</x:v>
      </x:c>
    </x:row>
    <x:row r="28" ht="23" customHeight="1">
      <x:c r="A28" s="2" t="str">
        <x:v>F014</x:v>
      </x:c>
      <x:c r="B28" s="2" t="str">
        <x:v>no_rules</x:v>
      </x:c>
      <x:c r="C28" s="2" t="str">
        <x:v>fact</x:v>
      </x:c>
      <x:c r="D28" s="2" t="str">
        <x:v>en</x:v>
      </x:c>
      <x:c r="E28" s="2" t="n">
        <x:v>1</x:v>
      </x:c>
      <x:c r="F28" s="2" t="n">
        <x:v>1</x:v>
      </x:c>
      <x:c r="G28" s="7" t="n">
        <x:v>26.454119800000626</x:v>
      </x:c>
      <x:c r="H28" s="2" t="n">
        <x:v>9136</x:v>
      </x:c>
      <x:c r="I28" s="2" t="n">
        <x:v>314</x:v>
      </x:c>
      <x:c r="J28" s="2" t="n">
        <x:v>0</x:v>
      </x:c>
      <x:c r="K28" s="2" t="n">
        <x:f>IF(J28&gt;0,"未知",SUM(H28:I28))</x:f>
        <x:v>9450</x:v>
      </x:c>
      <x:c r="L28" s="2" t="n">
        <x:v>4</x:v>
      </x:c>
      <x:c r="M28" s="2" t="n">
        <x:v>1</x:v>
      </x:c>
      <x:c r="N28" s="2" t="str">
        <x:v>task_complete</x:v>
      </x:c>
    </x:row>
    <x:row r="29" ht="23" customHeight="1">
      <x:c r="A29" s="2" t="str">
        <x:v>F014</x:v>
      </x:c>
      <x:c r="B29" s="2" t="str">
        <x:v>default</x:v>
      </x:c>
      <x:c r="C29" s="2" t="str">
        <x:v>fact</x:v>
      </x:c>
      <x:c r="D29" s="2" t="str">
        <x:v>en</x:v>
      </x:c>
      <x:c r="E29" s="2" t="n">
        <x:v>1</x:v>
      </x:c>
      <x:c r="F29" s="2" t="n">
        <x:v>1</x:v>
      </x:c>
      <x:c r="G29" s="7" t="n">
        <x:v>25.779110600000422</x:v>
      </x:c>
      <x:c r="H29" s="2" t="n">
        <x:v>9114</x:v>
      </x:c>
      <x:c r="I29" s="2" t="n">
        <x:v>292</x:v>
      </x:c>
      <x:c r="J29" s="2" t="n">
        <x:v>0</x:v>
      </x:c>
      <x:c r="K29" s="2" t="n">
        <x:f>IF(J29&gt;0,"未知",SUM(H29:I29))</x:f>
        <x:v>9406</x:v>
      </x:c>
      <x:c r="L29" s="2" t="n">
        <x:v>4</x:v>
      </x:c>
      <x:c r="M29" s="2" t="n">
        <x:v>1</x:v>
      </x:c>
      <x:c r="N29" s="2" t="str">
        <x:v>task_complete</x:v>
      </x:c>
    </x:row>
    <x:row r="30" ht="23" customHeight="1">
      <x:c r="A30" s="2" t="str">
        <x:v>F015</x:v>
      </x:c>
      <x:c r="B30" s="2" t="str">
        <x:v>default</x:v>
      </x:c>
      <x:c r="C30" s="2" t="str">
        <x:v>fact</x:v>
      </x:c>
      <x:c r="D30" s="2" t="str">
        <x:v>zh</x:v>
      </x:c>
      <x:c r="E30" s="2" t="n">
        <x:v>1</x:v>
      </x:c>
      <x:c r="F30" s="2" t="n">
        <x:v>1</x:v>
      </x:c>
      <x:c r="G30" s="7" t="n">
        <x:v>35.53802060000089</x:v>
      </x:c>
      <x:c r="H30" s="2" t="n">
        <x:v>10117</x:v>
      </x:c>
      <x:c r="I30" s="2" t="n">
        <x:v>366</x:v>
      </x:c>
      <x:c r="J30" s="2" t="n">
        <x:v>0</x:v>
      </x:c>
      <x:c r="K30" s="2" t="n">
        <x:f>IF(J30&gt;0,"未知",SUM(H30:I30))</x:f>
        <x:v>10483</x:v>
      </x:c>
      <x:c r="L30" s="2" t="n">
        <x:v>4</x:v>
      </x:c>
      <x:c r="M30" s="2" t="n">
        <x:v>1</x:v>
      </x:c>
      <x:c r="N30" s="2" t="str">
        <x:v>task_complete</x:v>
      </x:c>
    </x:row>
    <x:row r="31" ht="23" customHeight="1">
      <x:c r="A31" s="2" t="str">
        <x:v>F015</x:v>
      </x:c>
      <x:c r="B31" s="2" t="str">
        <x:v>no_rules</x:v>
      </x:c>
      <x:c r="C31" s="2" t="str">
        <x:v>fact</x:v>
      </x:c>
      <x:c r="D31" s="2" t="str">
        <x:v>zh</x:v>
      </x:c>
      <x:c r="E31" s="2" t="n">
        <x:v>1</x:v>
      </x:c>
      <x:c r="F31" s="2" t="n">
        <x:v>1</x:v>
      </x:c>
      <x:c r="G31" s="7" t="n">
        <x:v>33.10189099999843</x:v>
      </x:c>
      <x:c r="H31" s="2" t="n">
        <x:v>10118</x:v>
      </x:c>
      <x:c r="I31" s="2" t="n">
        <x:v>283</x:v>
      </x:c>
      <x:c r="J31" s="2" t="n">
        <x:v>0</x:v>
      </x:c>
      <x:c r="K31" s="2" t="n">
        <x:f>IF(J31&gt;0,"未知",SUM(H31:I31))</x:f>
        <x:v>10401</x:v>
      </x:c>
      <x:c r="L31" s="2" t="n">
        <x:v>4</x:v>
      </x:c>
      <x:c r="M31" s="2" t="n">
        <x:v>1</x:v>
      </x:c>
      <x:c r="N31" s="2" t="str">
        <x:v>task_complete</x:v>
      </x:c>
    </x:row>
    <x:row r="32" ht="23" customHeight="1">
      <x:c r="A32" s="2" t="str">
        <x:v>C001</x:v>
      </x:c>
      <x:c r="B32" s="2" t="str">
        <x:v>no_rules</x:v>
      </x:c>
      <x:c r="C32" s="2" t="str">
        <x:v>comparison</x:v>
      </x:c>
      <x:c r="D32" s="2" t="str">
        <x:v>en</x:v>
      </x:c>
      <x:c r="E32" s="2" t="n">
        <x:v>1</x:v>
      </x:c>
      <x:c r="F32" s="2" t="n">
        <x:v>1</x:v>
      </x:c>
      <x:c r="G32" s="7" t="n">
        <x:v>27.342337800000678</x:v>
      </x:c>
      <x:c r="H32" s="2" t="n">
        <x:v>9271</x:v>
      </x:c>
      <x:c r="I32" s="2" t="n">
        <x:v>335</x:v>
      </x:c>
      <x:c r="J32" s="2" t="n">
        <x:v>0</x:v>
      </x:c>
      <x:c r="K32" s="2" t="n">
        <x:f>IF(J32&gt;0,"未知",SUM(H32:I32))</x:f>
        <x:v>9606</x:v>
      </x:c>
      <x:c r="L32" s="2" t="n">
        <x:v>4</x:v>
      </x:c>
      <x:c r="M32" s="2" t="n">
        <x:v>1</x:v>
      </x:c>
      <x:c r="N32" s="2" t="str">
        <x:v>task_complete</x:v>
      </x:c>
    </x:row>
    <x:row r="33" ht="23" customHeight="1">
      <x:c r="A33" s="2" t="str">
        <x:v>C001</x:v>
      </x:c>
      <x:c r="B33" s="2" t="str">
        <x:v>default</x:v>
      </x:c>
      <x:c r="C33" s="2" t="str">
        <x:v>comparison</x:v>
      </x:c>
      <x:c r="D33" s="2" t="str">
        <x:v>en</x:v>
      </x:c>
      <x:c r="E33" s="2" t="n">
        <x:v>1</x:v>
      </x:c>
      <x:c r="F33" s="2" t="n">
        <x:v>1</x:v>
      </x:c>
      <x:c r="G33" s="7" t="n">
        <x:v>25.910704500001884</x:v>
      </x:c>
      <x:c r="H33" s="2" t="n">
        <x:v>9273</x:v>
      </x:c>
      <x:c r="I33" s="2" t="n">
        <x:v>335</x:v>
      </x:c>
      <x:c r="J33" s="2" t="n">
        <x:v>0</x:v>
      </x:c>
      <x:c r="K33" s="2" t="n">
        <x:f>IF(J33&gt;0,"未知",SUM(H33:I33))</x:f>
        <x:v>9608</x:v>
      </x:c>
      <x:c r="L33" s="2" t="n">
        <x:v>4</x:v>
      </x:c>
      <x:c r="M33" s="2" t="n">
        <x:v>1</x:v>
      </x:c>
      <x:c r="N33" s="2" t="str">
        <x:v>task_complete</x:v>
      </x:c>
    </x:row>
    <x:row r="34" ht="23" customHeight="1">
      <x:c r="A34" s="2" t="str">
        <x:v>C002</x:v>
      </x:c>
      <x:c r="B34" s="2" t="str">
        <x:v>default</x:v>
      </x:c>
      <x:c r="C34" s="2" t="str">
        <x:v>comparison</x:v>
      </x:c>
      <x:c r="D34" s="2" t="str">
        <x:v>zh</x:v>
      </x:c>
      <x:c r="E34" s="2" t="n">
        <x:v>1</x:v>
      </x:c>
      <x:c r="F34" s="2" t="n">
        <x:v>1</x:v>
      </x:c>
      <x:c r="G34" s="7" t="n">
        <x:v>31.067016399996646</x:v>
      </x:c>
      <x:c r="H34" s="2" t="n">
        <x:v>9483</x:v>
      </x:c>
      <x:c r="I34" s="2" t="n">
        <x:v>339</x:v>
      </x:c>
      <x:c r="J34" s="2" t="n">
        <x:v>0</x:v>
      </x:c>
      <x:c r="K34" s="2" t="n">
        <x:f>IF(J34&gt;0,"未知",SUM(H34:I34))</x:f>
        <x:v>9822</x:v>
      </x:c>
      <x:c r="L34" s="2" t="n">
        <x:v>4</x:v>
      </x:c>
      <x:c r="M34" s="2" t="n">
        <x:v>1</x:v>
      </x:c>
      <x:c r="N34" s="2" t="str">
        <x:v>task_complete</x:v>
      </x:c>
    </x:row>
    <x:row r="35" ht="23" customHeight="1">
      <x:c r="A35" s="2" t="str">
        <x:v>C002</x:v>
      </x:c>
      <x:c r="B35" s="2" t="str">
        <x:v>no_rules</x:v>
      </x:c>
      <x:c r="C35" s="2" t="str">
        <x:v>comparison</x:v>
      </x:c>
      <x:c r="D35" s="2" t="str">
        <x:v>zh</x:v>
      </x:c>
      <x:c r="E35" s="2" t="n">
        <x:v>1</x:v>
      </x:c>
      <x:c r="F35" s="2" t="n">
        <x:v>1</x:v>
      </x:c>
      <x:c r="G35" s="7" t="n">
        <x:v>30.368197100000543</x:v>
      </x:c>
      <x:c r="H35" s="2" t="n">
        <x:v>9484</x:v>
      </x:c>
      <x:c r="I35" s="2" t="n">
        <x:v>332</x:v>
      </x:c>
      <x:c r="J35" s="2" t="n">
        <x:v>0</x:v>
      </x:c>
      <x:c r="K35" s="2" t="n">
        <x:f>IF(J35&gt;0,"未知",SUM(H35:I35))</x:f>
        <x:v>9816</x:v>
      </x:c>
      <x:c r="L35" s="2" t="n">
        <x:v>4</x:v>
      </x:c>
      <x:c r="M35" s="2" t="n">
        <x:v>1</x:v>
      </x:c>
      <x:c r="N35" s="2" t="str">
        <x:v>task_complete</x:v>
      </x:c>
    </x:row>
    <x:row r="36" ht="23" customHeight="1">
      <x:c r="A36" s="2" t="str">
        <x:v>C003</x:v>
      </x:c>
      <x:c r="B36" s="2" t="str">
        <x:v>no_rules</x:v>
      </x:c>
      <x:c r="C36" s="2" t="str">
        <x:v>comparison</x:v>
      </x:c>
      <x:c r="D36" s="2" t="str">
        <x:v>en</x:v>
      </x:c>
      <x:c r="E36" s="2" t="n">
        <x:v>1</x:v>
      </x:c>
      <x:c r="F36" s="2" t="n">
        <x:v>1</x:v>
      </x:c>
      <x:c r="G36" s="7" t="n">
        <x:v>29.53748710000218</x:v>
      </x:c>
      <x:c r="H36" s="2" t="n">
        <x:v>8965</x:v>
      </x:c>
      <x:c r="I36" s="2" t="n">
        <x:v>404</x:v>
      </x:c>
      <x:c r="J36" s="2" t="n">
        <x:v>0</x:v>
      </x:c>
      <x:c r="K36" s="2" t="n">
        <x:f>IF(J36&gt;0,"未知",SUM(H36:I36))</x:f>
        <x:v>9369</x:v>
      </x:c>
      <x:c r="L36" s="2" t="n">
        <x:v>4</x:v>
      </x:c>
      <x:c r="M36" s="2" t="n">
        <x:v>1</x:v>
      </x:c>
      <x:c r="N36" s="2" t="str">
        <x:v>task_complete</x:v>
      </x:c>
    </x:row>
    <x:row r="37" ht="23" customHeight="1">
      <x:c r="A37" s="2" t="str">
        <x:v>C003</x:v>
      </x:c>
      <x:c r="B37" s="2" t="str">
        <x:v>default</x:v>
      </x:c>
      <x:c r="C37" s="2" t="str">
        <x:v>comparison</x:v>
      </x:c>
      <x:c r="D37" s="2" t="str">
        <x:v>en</x:v>
      </x:c>
      <x:c r="E37" s="2" t="n">
        <x:v>1</x:v>
      </x:c>
      <x:c r="F37" s="2" t="n">
        <x:v>1</x:v>
      </x:c>
      <x:c r="G37" s="7" t="n">
        <x:v>32.12829719999718</x:v>
      </x:c>
      <x:c r="H37" s="2" t="n">
        <x:v>9333</x:v>
      </x:c>
      <x:c r="I37" s="2" t="n">
        <x:v>439</x:v>
      </x:c>
      <x:c r="J37" s="2" t="n">
        <x:v>0</x:v>
      </x:c>
      <x:c r="K37" s="2" t="n">
        <x:f>IF(J37&gt;0,"未知",SUM(H37:I37))</x:f>
        <x:v>9772</x:v>
      </x:c>
      <x:c r="L37" s="2" t="n">
        <x:v>4</x:v>
      </x:c>
      <x:c r="M37" s="2" t="n">
        <x:v>1</x:v>
      </x:c>
      <x:c r="N37" s="2" t="str">
        <x:v>task_complete</x:v>
      </x:c>
    </x:row>
    <x:row r="38" ht="23" customHeight="1">
      <x:c r="A38" s="2" t="str">
        <x:v>C004</x:v>
      </x:c>
      <x:c r="B38" s="2" t="str">
        <x:v>default</x:v>
      </x:c>
      <x:c r="C38" s="2" t="str">
        <x:v>comparison</x:v>
      </x:c>
      <x:c r="D38" s="2" t="str">
        <x:v>zh</x:v>
      </x:c>
      <x:c r="E38" s="2" t="n">
        <x:v>1</x:v>
      </x:c>
      <x:c r="F38" s="2" t="n">
        <x:v>2</x:v>
      </x:c>
      <x:c r="G38" s="7" t="n">
        <x:v>45.33159220000016</x:v>
      </x:c>
      <x:c r="H38" s="2" t="n">
        <x:v>17644</x:v>
      </x:c>
      <x:c r="I38" s="2" t="n">
        <x:v>542</x:v>
      </x:c>
      <x:c r="J38" s="2" t="n">
        <x:v>0</x:v>
      </x:c>
      <x:c r="K38" s="2" t="n">
        <x:f>IF(J38&gt;0,"未知",SUM(H38:I38))</x:f>
        <x:v>18186</x:v>
      </x:c>
      <x:c r="L38" s="2" t="n">
        <x:v>6</x:v>
      </x:c>
      <x:c r="M38" s="2" t="n">
        <x:v>1</x:v>
      </x:c>
      <x:c r="N38" s="2" t="str">
        <x:v>task_complete</x:v>
      </x:c>
    </x:row>
    <x:row r="39" ht="23" customHeight="1">
      <x:c r="A39" s="2" t="str">
        <x:v>C004</x:v>
      </x:c>
      <x:c r="B39" s="2" t="str">
        <x:v>no_rules</x:v>
      </x:c>
      <x:c r="C39" s="2" t="str">
        <x:v>comparison</x:v>
      </x:c>
      <x:c r="D39" s="2" t="str">
        <x:v>zh</x:v>
      </x:c>
      <x:c r="E39" s="2" t="n">
        <x:v>1</x:v>
      </x:c>
      <x:c r="F39" s="2" t="n">
        <x:v>1</x:v>
      </x:c>
      <x:c r="G39" s="7" t="n">
        <x:v>44.03029519999836</x:v>
      </x:c>
      <x:c r="H39" s="2" t="n">
        <x:v>10027</x:v>
      </x:c>
      <x:c r="I39" s="2" t="n">
        <x:v>695</x:v>
      </x:c>
      <x:c r="J39" s="2" t="n">
        <x:v>0</x:v>
      </x:c>
      <x:c r="K39" s="2" t="n">
        <x:f>IF(J39&gt;0,"未知",SUM(H39:I39))</x:f>
        <x:v>10722</x:v>
      </x:c>
      <x:c r="L39" s="2" t="n">
        <x:v>4</x:v>
      </x:c>
      <x:c r="M39" s="2" t="n">
        <x:v>1</x:v>
      </x:c>
      <x:c r="N39" s="2" t="str">
        <x:v>task_complete</x:v>
      </x:c>
    </x:row>
    <x:row r="40" ht="23" customHeight="1">
      <x:c r="A40" s="2" t="str">
        <x:v>C005</x:v>
      </x:c>
      <x:c r="B40" s="2" t="str">
        <x:v>no_rules</x:v>
      </x:c>
      <x:c r="C40" s="2" t="str">
        <x:v>comparison</x:v>
      </x:c>
      <x:c r="D40" s="2" t="str">
        <x:v>en</x:v>
      </x:c>
      <x:c r="E40" s="2" t="n">
        <x:v>1</x:v>
      </x:c>
      <x:c r="F40" s="2" t="n">
        <x:v>1</x:v>
      </x:c>
      <x:c r="G40" s="7" t="n">
        <x:v>31.981667899999593</x:v>
      </x:c>
      <x:c r="H40" s="2" t="n">
        <x:v>9758</x:v>
      </x:c>
      <x:c r="I40" s="2" t="n">
        <x:v>409</x:v>
      </x:c>
      <x:c r="J40" s="2" t="n">
        <x:v>0</x:v>
      </x:c>
      <x:c r="K40" s="2" t="n">
        <x:f>IF(J40&gt;0,"未知",SUM(H40:I40))</x:f>
        <x:v>10167</x:v>
      </x:c>
      <x:c r="L40" s="2" t="n">
        <x:v>4</x:v>
      </x:c>
      <x:c r="M40" s="2" t="n">
        <x:v>1</x:v>
      </x:c>
      <x:c r="N40" s="2" t="str">
        <x:v>task_complete</x:v>
      </x:c>
    </x:row>
    <x:row r="41" ht="23" customHeight="1">
      <x:c r="A41" s="2" t="str">
        <x:v>C005</x:v>
      </x:c>
      <x:c r="B41" s="2" t="str">
        <x:v>default</x:v>
      </x:c>
      <x:c r="C41" s="2" t="str">
        <x:v>comparison</x:v>
      </x:c>
      <x:c r="D41" s="2" t="str">
        <x:v>en</x:v>
      </x:c>
      <x:c r="E41" s="2" t="n">
        <x:v>1</x:v>
      </x:c>
      <x:c r="F41" s="2" t="n">
        <x:v>1</x:v>
      </x:c>
      <x:c r="G41" s="7" t="n">
        <x:v>28.97646479999821</x:v>
      </x:c>
      <x:c r="H41" s="2" t="n">
        <x:v>9766</x:v>
      </x:c>
      <x:c r="I41" s="2" t="n">
        <x:v>384</x:v>
      </x:c>
      <x:c r="J41" s="2" t="n">
        <x:v>0</x:v>
      </x:c>
      <x:c r="K41" s="2" t="n">
        <x:f>IF(J41&gt;0,"未知",SUM(H41:I41))</x:f>
        <x:v>10150</x:v>
      </x:c>
      <x:c r="L41" s="2" t="n">
        <x:v>4</x:v>
      </x:c>
      <x:c r="M41" s="2" t="n">
        <x:v>1</x:v>
      </x:c>
      <x:c r="N41" s="2" t="str">
        <x:v>task_complete</x:v>
      </x:c>
    </x:row>
    <x:row r="42" ht="23" customHeight="1">
      <x:c r="A42" s="2" t="str">
        <x:v>C006</x:v>
      </x:c>
      <x:c r="B42" s="2" t="str">
        <x:v>default</x:v>
      </x:c>
      <x:c r="C42" s="2" t="str">
        <x:v>comparison</x:v>
      </x:c>
      <x:c r="D42" s="2" t="str">
        <x:v>zh</x:v>
      </x:c>
      <x:c r="E42" s="2" t="n">
        <x:v>1</x:v>
      </x:c>
      <x:c r="F42" s="2" t="n">
        <x:v>3</x:v>
      </x:c>
      <x:c r="G42" s="7" t="n">
        <x:v>66.48020209999959</x:v>
      </x:c>
      <x:c r="H42" s="2" t="n">
        <x:v>27260</x:v>
      </x:c>
      <x:c r="I42" s="2" t="n">
        <x:v>737</x:v>
      </x:c>
      <x:c r="J42" s="2" t="n">
        <x:v>0</x:v>
      </x:c>
      <x:c r="K42" s="2" t="n">
        <x:f>IF(J42&gt;0,"未知",SUM(H42:I42))</x:f>
        <x:v>27997</x:v>
      </x:c>
      <x:c r="L42" s="2" t="n">
        <x:v>10</x:v>
      </x:c>
      <x:c r="M42" s="2" t="n">
        <x:v>0</x:v>
      </x:c>
      <x:c r="N42" s="2" t="str">
        <x:v>incomplete</x:v>
      </x:c>
    </x:row>
    <x:row r="43" ht="23" customHeight="1">
      <x:c r="A43" s="2" t="str">
        <x:v>C006</x:v>
      </x:c>
      <x:c r="B43" s="2" t="str">
        <x:v>no_rules</x:v>
      </x:c>
      <x:c r="C43" s="2" t="str">
        <x:v>comparison</x:v>
      </x:c>
      <x:c r="D43" s="2" t="str">
        <x:v>zh</x:v>
      </x:c>
      <x:c r="E43" s="2" t="n">
        <x:v>1</x:v>
      </x:c>
      <x:c r="F43" s="2" t="n">
        <x:v>2</x:v>
      </x:c>
      <x:c r="G43" s="7" t="n">
        <x:v>38.04883169999812</x:v>
      </x:c>
      <x:c r="H43" s="2" t="n">
        <x:v>15136</x:v>
      </x:c>
      <x:c r="I43" s="2" t="n">
        <x:v>552</x:v>
      </x:c>
      <x:c r="J43" s="2" t="n">
        <x:v>0</x:v>
      </x:c>
      <x:c r="K43" s="2" t="n">
        <x:f>IF(J43&gt;0,"未知",SUM(H43:I43))</x:f>
        <x:v>15688</x:v>
      </x:c>
      <x:c r="L43" s="2" t="n">
        <x:v>6</x:v>
      </x:c>
      <x:c r="M43" s="2" t="n">
        <x:v>0</x:v>
      </x:c>
      <x:c r="N43" s="2" t="str">
        <x:v>incomplete</x:v>
      </x:c>
    </x:row>
    <x:row r="44" ht="23" customHeight="1">
      <x:c r="A44" s="2" t="str">
        <x:v>C007</x:v>
      </x:c>
      <x:c r="B44" s="2" t="str">
        <x:v>no_rules</x:v>
      </x:c>
      <x:c r="C44" s="2" t="str">
        <x:v>comparison</x:v>
      </x:c>
      <x:c r="D44" s="2" t="str">
        <x:v>en</x:v>
      </x:c>
      <x:c r="E44" s="2" t="n">
        <x:v>1</x:v>
      </x:c>
      <x:c r="F44" s="2" t="n">
        <x:v>1</x:v>
      </x:c>
      <x:c r="G44" s="7" t="n">
        <x:v>23.873599999998987</x:v>
      </x:c>
      <x:c r="H44" s="2" t="n">
        <x:v>9216</x:v>
      </x:c>
      <x:c r="I44" s="2" t="n">
        <x:v>332</x:v>
      </x:c>
      <x:c r="J44" s="2" t="n">
        <x:v>0</x:v>
      </x:c>
      <x:c r="K44" s="2" t="n">
        <x:f>IF(J44&gt;0,"未知",SUM(H44:I44))</x:f>
        <x:v>9548</x:v>
      </x:c>
      <x:c r="L44" s="2" t="n">
        <x:v>4</x:v>
      </x:c>
      <x:c r="M44" s="2" t="n">
        <x:v>1</x:v>
      </x:c>
      <x:c r="N44" s="2" t="str">
        <x:v>task_complete</x:v>
      </x:c>
    </x:row>
    <x:row r="45" ht="23" customHeight="1">
      <x:c r="A45" s="2" t="str">
        <x:v>C007</x:v>
      </x:c>
      <x:c r="B45" s="2" t="str">
        <x:v>default</x:v>
      </x:c>
      <x:c r="C45" s="2" t="str">
        <x:v>comparison</x:v>
      </x:c>
      <x:c r="D45" s="2" t="str">
        <x:v>en</x:v>
      </x:c>
      <x:c r="E45" s="2" t="n">
        <x:v>1</x:v>
      </x:c>
      <x:c r="F45" s="2" t="n">
        <x:v>1</x:v>
      </x:c>
      <x:c r="G45" s="7" t="n">
        <x:v>28.128997199997684</x:v>
      </x:c>
      <x:c r="H45" s="2" t="n">
        <x:v>9715</x:v>
      </x:c>
      <x:c r="I45" s="2" t="n">
        <x:v>427</x:v>
      </x:c>
      <x:c r="J45" s="2" t="n">
        <x:v>0</x:v>
      </x:c>
      <x:c r="K45" s="2" t="n">
        <x:f>IF(J45&gt;0,"未知",SUM(H45:I45))</x:f>
        <x:v>10142</x:v>
      </x:c>
      <x:c r="L45" s="2" t="n">
        <x:v>4</x:v>
      </x:c>
      <x:c r="M45" s="2" t="n">
        <x:v>1</x:v>
      </x:c>
      <x:c r="N45" s="2" t="str">
        <x:v>task_complete</x:v>
      </x:c>
    </x:row>
    <x:row r="46" ht="23" customHeight="1">
      <x:c r="A46" s="2" t="str">
        <x:v>C008</x:v>
      </x:c>
      <x:c r="B46" s="2" t="str">
        <x:v>default</x:v>
      </x:c>
      <x:c r="C46" s="2" t="str">
        <x:v>comparison</x:v>
      </x:c>
      <x:c r="D46" s="2" t="str">
        <x:v>zh</x:v>
      </x:c>
      <x:c r="E46" s="2" t="n">
        <x:v>1</x:v>
      </x:c>
      <x:c r="F46" s="2" t="n">
        <x:v>2</x:v>
      </x:c>
      <x:c r="G46" s="7" t="n">
        <x:v>43.481825100003334</x:v>
      </x:c>
      <x:c r="H46" s="2" t="n">
        <x:v>18240</x:v>
      </x:c>
      <x:c r="I46" s="2" t="n">
        <x:v>421</x:v>
      </x:c>
      <x:c r="J46" s="2" t="n">
        <x:v>0</x:v>
      </x:c>
      <x:c r="K46" s="2" t="n">
        <x:f>IF(J46&gt;0,"未知",SUM(H46:I46))</x:f>
        <x:v>18661</x:v>
      </x:c>
      <x:c r="L46" s="2" t="n">
        <x:v>6</x:v>
      </x:c>
      <x:c r="M46" s="2" t="n">
        <x:v>1</x:v>
      </x:c>
      <x:c r="N46" s="2" t="str">
        <x:v>task_complete</x:v>
      </x:c>
    </x:row>
    <x:row r="47" ht="23" customHeight="1">
      <x:c r="A47" s="2" t="str">
        <x:v>C008</x:v>
      </x:c>
      <x:c r="B47" s="2" t="str">
        <x:v>no_rules</x:v>
      </x:c>
      <x:c r="C47" s="2" t="str">
        <x:v>comparison</x:v>
      </x:c>
      <x:c r="D47" s="2" t="str">
        <x:v>zh</x:v>
      </x:c>
      <x:c r="E47" s="2" t="n">
        <x:v>1</x:v>
      </x:c>
      <x:c r="F47" s="2" t="n">
        <x:v>2</x:v>
      </x:c>
      <x:c r="G47" s="7" t="n">
        <x:v>32.919474099999206</x:v>
      </x:c>
      <x:c r="H47" s="2" t="n">
        <x:v>18247</x:v>
      </x:c>
      <x:c r="I47" s="2" t="n">
        <x:v>427</x:v>
      </x:c>
      <x:c r="J47" s="2" t="n">
        <x:v>0</x:v>
      </x:c>
      <x:c r="K47" s="2" t="n">
        <x:f>IF(J47&gt;0,"未知",SUM(H47:I47))</x:f>
        <x:v>18674</x:v>
      </x:c>
      <x:c r="L47" s="2" t="n">
        <x:v>6</x:v>
      </x:c>
      <x:c r="M47" s="2" t="n">
        <x:v>1</x:v>
      </x:c>
      <x:c r="N47" s="2" t="str">
        <x:v>task_complete</x:v>
      </x:c>
    </x:row>
    <x:row r="48" ht="23" customHeight="1">
      <x:c r="A48" s="2" t="str">
        <x:v>C009</x:v>
      </x:c>
      <x:c r="B48" s="2" t="str">
        <x:v>no_rules</x:v>
      </x:c>
      <x:c r="C48" s="2" t="str">
        <x:v>comparison</x:v>
      </x:c>
      <x:c r="D48" s="2" t="str">
        <x:v>en</x:v>
      </x:c>
      <x:c r="E48" s="2" t="n">
        <x:v>1</x:v>
      </x:c>
      <x:c r="F48" s="2" t="n">
        <x:v>1</x:v>
      </x:c>
      <x:c r="G48" s="7" t="n">
        <x:v>20.604642400001467</x:v>
      </x:c>
      <x:c r="H48" s="2" t="n">
        <x:v>8855</x:v>
      </x:c>
      <x:c r="I48" s="2" t="n">
        <x:v>264</x:v>
      </x:c>
      <x:c r="J48" s="2" t="n">
        <x:v>0</x:v>
      </x:c>
      <x:c r="K48" s="2" t="n">
        <x:f>IF(J48&gt;0,"未知",SUM(H48:I48))</x:f>
        <x:v>9119</x:v>
      </x:c>
      <x:c r="L48" s="2" t="n">
        <x:v>4</x:v>
      </x:c>
      <x:c r="M48" s="2" t="n">
        <x:v>1</x:v>
      </x:c>
      <x:c r="N48" s="2" t="str">
        <x:v>task_complete</x:v>
      </x:c>
    </x:row>
    <x:row r="49" ht="23" customHeight="1">
      <x:c r="A49" s="2" t="str">
        <x:v>C009</x:v>
      </x:c>
      <x:c r="B49" s="2" t="str">
        <x:v>default</x:v>
      </x:c>
      <x:c r="C49" s="2" t="str">
        <x:v>comparison</x:v>
      </x:c>
      <x:c r="D49" s="2" t="str">
        <x:v>en</x:v>
      </x:c>
      <x:c r="E49" s="2" t="n">
        <x:v>1</x:v>
      </x:c>
      <x:c r="F49" s="2" t="n">
        <x:v>1</x:v>
      </x:c>
      <x:c r="G49" s="7" t="n">
        <x:v>19.975646200000483</x:v>
      </x:c>
      <x:c r="H49" s="2" t="n">
        <x:v>8855</x:v>
      </x:c>
      <x:c r="I49" s="2" t="n">
        <x:v>261</x:v>
      </x:c>
      <x:c r="J49" s="2" t="n">
        <x:v>0</x:v>
      </x:c>
      <x:c r="K49" s="2" t="n">
        <x:f>IF(J49&gt;0,"未知",SUM(H49:I49))</x:f>
        <x:v>9116</x:v>
      </x:c>
      <x:c r="L49" s="2" t="n">
        <x:v>4</x:v>
      </x:c>
      <x:c r="M49" s="2" t="n">
        <x:v>1</x:v>
      </x:c>
      <x:c r="N49" s="2" t="str">
        <x:v>task_complete</x:v>
      </x:c>
    </x:row>
    <x:row r="50" ht="23" customHeight="1">
      <x:c r="A50" s="2" t="str">
        <x:v>C010</x:v>
      </x:c>
      <x:c r="B50" s="2" t="str">
        <x:v>default</x:v>
      </x:c>
      <x:c r="C50" s="2" t="str">
        <x:v>comparison</x:v>
      </x:c>
      <x:c r="D50" s="2" t="str">
        <x:v>zh</x:v>
      </x:c>
      <x:c r="E50" s="2" t="n">
        <x:v>1</x:v>
      </x:c>
      <x:c r="F50" s="2" t="n">
        <x:v>1</x:v>
      </x:c>
      <x:c r="G50" s="7" t="n">
        <x:v>28.56732810000176</x:v>
      </x:c>
      <x:c r="H50" s="2" t="n">
        <x:v>9963</x:v>
      </x:c>
      <x:c r="I50" s="2" t="n">
        <x:v>499</x:v>
      </x:c>
      <x:c r="J50" s="2" t="n">
        <x:v>0</x:v>
      </x:c>
      <x:c r="K50" s="2" t="n">
        <x:f>IF(J50&gt;0,"未知",SUM(H50:I50))</x:f>
        <x:v>10462</x:v>
      </x:c>
      <x:c r="L50" s="2" t="n">
        <x:v>4</x:v>
      </x:c>
      <x:c r="M50" s="2" t="n">
        <x:v>1</x:v>
      </x:c>
      <x:c r="N50" s="2" t="str">
        <x:v>task_complete</x:v>
      </x:c>
    </x:row>
    <x:row r="51" ht="23" customHeight="1">
      <x:c r="A51" s="2" t="str">
        <x:v>C010</x:v>
      </x:c>
      <x:c r="B51" s="2" t="str">
        <x:v>no_rules</x:v>
      </x:c>
      <x:c r="C51" s="2" t="str">
        <x:v>comparison</x:v>
      </x:c>
      <x:c r="D51" s="2" t="str">
        <x:v>zh</x:v>
      </x:c>
      <x:c r="E51" s="2" t="n">
        <x:v>1</x:v>
      </x:c>
      <x:c r="F51" s="2" t="n">
        <x:v>1</x:v>
      </x:c>
      <x:c r="G51" s="7" t="n">
        <x:v>27.345619300002</x:v>
      </x:c>
      <x:c r="H51" s="2" t="n">
        <x:v>10243</x:v>
      </x:c>
      <x:c r="I51" s="2" t="n">
        <x:v>452</x:v>
      </x:c>
      <x:c r="J51" s="2" t="n">
        <x:v>0</x:v>
      </x:c>
      <x:c r="K51" s="2" t="n">
        <x:f>IF(J51&gt;0,"未知",SUM(H51:I51))</x:f>
        <x:v>10695</x:v>
      </x:c>
      <x:c r="L51" s="2" t="n">
        <x:v>4</x:v>
      </x:c>
      <x:c r="M51" s="2" t="n">
        <x:v>1</x:v>
      </x:c>
      <x:c r="N51" s="2" t="str">
        <x:v>task_complete</x:v>
      </x:c>
    </x:row>
    <x:row r="52" ht="23" customHeight="1">
      <x:c r="A52" s="2" t="str">
        <x:v>C011</x:v>
      </x:c>
      <x:c r="B52" s="2" t="str">
        <x:v>no_rules</x:v>
      </x:c>
      <x:c r="C52" s="2" t="str">
        <x:v>comparison</x:v>
      </x:c>
      <x:c r="D52" s="2" t="str">
        <x:v>en</x:v>
      </x:c>
      <x:c r="E52" s="2" t="n">
        <x:v>1</x:v>
      </x:c>
      <x:c r="F52" s="2" t="n">
        <x:v>1</x:v>
      </x:c>
      <x:c r="G52" s="7" t="n">
        <x:v>23.475175899999158</x:v>
      </x:c>
      <x:c r="H52" s="2" t="n">
        <x:v>8994</x:v>
      </x:c>
      <x:c r="I52" s="2" t="n">
        <x:v>359</x:v>
      </x:c>
      <x:c r="J52" s="2" t="n">
        <x:v>0</x:v>
      </x:c>
      <x:c r="K52" s="2" t="n">
        <x:f>IF(J52&gt;0,"未知",SUM(H52:I52))</x:f>
        <x:v>9353</x:v>
      </x:c>
      <x:c r="L52" s="2" t="n">
        <x:v>4</x:v>
      </x:c>
      <x:c r="M52" s="2" t="n">
        <x:v>1</x:v>
      </x:c>
      <x:c r="N52" s="2" t="str">
        <x:v>task_complete</x:v>
      </x:c>
    </x:row>
    <x:row r="53" ht="23" customHeight="1">
      <x:c r="A53" s="2" t="str">
        <x:v>C011</x:v>
      </x:c>
      <x:c r="B53" s="2" t="str">
        <x:v>default</x:v>
      </x:c>
      <x:c r="C53" s="2" t="str">
        <x:v>comparison</x:v>
      </x:c>
      <x:c r="D53" s="2" t="str">
        <x:v>en</x:v>
      </x:c>
      <x:c r="E53" s="2" t="n">
        <x:v>1</x:v>
      </x:c>
      <x:c r="F53" s="2" t="n">
        <x:v>1</x:v>
      </x:c>
      <x:c r="G53" s="7" t="n">
        <x:v>21.871390600001178</x:v>
      </x:c>
      <x:c r="H53" s="2" t="n">
        <x:v>9289</x:v>
      </x:c>
      <x:c r="I53" s="2" t="n">
        <x:v>316</x:v>
      </x:c>
      <x:c r="J53" s="2" t="n">
        <x:v>0</x:v>
      </x:c>
      <x:c r="K53" s="2" t="n">
        <x:f>IF(J53&gt;0,"未知",SUM(H53:I53))</x:f>
        <x:v>9605</x:v>
      </x:c>
      <x:c r="L53" s="2" t="n">
        <x:v>4</x:v>
      </x:c>
      <x:c r="M53" s="2" t="n">
        <x:v>1</x:v>
      </x:c>
      <x:c r="N53" s="2" t="str">
        <x:v>task_complete</x:v>
      </x:c>
    </x:row>
    <x:row r="54" ht="23" customHeight="1">
      <x:c r="A54" s="2" t="str">
        <x:v>C012</x:v>
      </x:c>
      <x:c r="B54" s="2" t="str">
        <x:v>default</x:v>
      </x:c>
      <x:c r="C54" s="2" t="str">
        <x:v>comparison</x:v>
      </x:c>
      <x:c r="D54" s="2" t="str">
        <x:v>zh</x:v>
      </x:c>
      <x:c r="E54" s="2" t="n">
        <x:v>1</x:v>
      </x:c>
      <x:c r="F54" s="2" t="n">
        <x:v>1</x:v>
      </x:c>
      <x:c r="G54" s="7" t="n">
        <x:v>28.819840000000113</x:v>
      </x:c>
      <x:c r="H54" s="2" t="n">
        <x:v>9304</x:v>
      </x:c>
      <x:c r="I54" s="2" t="n">
        <x:v>398</x:v>
      </x:c>
      <x:c r="J54" s="2" t="n">
        <x:v>0</x:v>
      </x:c>
      <x:c r="K54" s="2" t="n">
        <x:f>IF(J54&gt;0,"未知",SUM(H54:I54))</x:f>
        <x:v>9702</x:v>
      </x:c>
      <x:c r="L54" s="2" t="n">
        <x:v>4</x:v>
      </x:c>
      <x:c r="M54" s="2" t="n">
        <x:v>1</x:v>
      </x:c>
      <x:c r="N54" s="2" t="str">
        <x:v>task_complete</x:v>
      </x:c>
    </x:row>
    <x:row r="55" ht="23" customHeight="1">
      <x:c r="A55" s="2" t="str">
        <x:v>C012</x:v>
      </x:c>
      <x:c r="B55" s="2" t="str">
        <x:v>no_rules</x:v>
      </x:c>
      <x:c r="C55" s="2" t="str">
        <x:v>comparison</x:v>
      </x:c>
      <x:c r="D55" s="2" t="str">
        <x:v>zh</x:v>
      </x:c>
      <x:c r="E55" s="2" t="n">
        <x:v>1</x:v>
      </x:c>
      <x:c r="F55" s="2" t="n">
        <x:v>1</x:v>
      </x:c>
      <x:c r="G55" s="7" t="n">
        <x:v>27.36409040000217</x:v>
      </x:c>
      <x:c r="H55" s="2" t="n">
        <x:v>9303</x:v>
      </x:c>
      <x:c r="I55" s="2" t="n">
        <x:v>402</x:v>
      </x:c>
      <x:c r="J55" s="2" t="n">
        <x:v>0</x:v>
      </x:c>
      <x:c r="K55" s="2" t="n">
        <x:f>IF(J55&gt;0,"未知",SUM(H55:I55))</x:f>
        <x:v>9705</x:v>
      </x:c>
      <x:c r="L55" s="2" t="n">
        <x:v>4</x:v>
      </x:c>
      <x:c r="M55" s="2" t="n">
        <x:v>1</x:v>
      </x:c>
      <x:c r="N55" s="2" t="str">
        <x:v>task_complete</x:v>
      </x:c>
    </x:row>
    <x:row r="56" ht="23" customHeight="1">
      <x:c r="A56" s="2" t="str">
        <x:v>C013</x:v>
      </x:c>
      <x:c r="B56" s="2" t="str">
        <x:v>no_rules</x:v>
      </x:c>
      <x:c r="C56" s="2" t="str">
        <x:v>comparison</x:v>
      </x:c>
      <x:c r="D56" s="2" t="str">
        <x:v>en</x:v>
      </x:c>
      <x:c r="E56" s="2" t="n">
        <x:v>1</x:v>
      </x:c>
      <x:c r="F56" s="2" t="n">
        <x:v>1</x:v>
      </x:c>
      <x:c r="G56" s="7" t="n">
        <x:v>29.50636830000076</x:v>
      </x:c>
      <x:c r="H56" s="2" t="n">
        <x:v>9527</x:v>
      </x:c>
      <x:c r="I56" s="2" t="n">
        <x:v>541</x:v>
      </x:c>
      <x:c r="J56" s="2" t="n">
        <x:v>0</x:v>
      </x:c>
      <x:c r="K56" s="2" t="n">
        <x:f>IF(J56&gt;0,"未知",SUM(H56:I56))</x:f>
        <x:v>10068</x:v>
      </x:c>
      <x:c r="L56" s="2" t="n">
        <x:v>4</x:v>
      </x:c>
      <x:c r="M56" s="2" t="n">
        <x:v>1</x:v>
      </x:c>
      <x:c r="N56" s="2" t="str">
        <x:v>task_complete</x:v>
      </x:c>
    </x:row>
    <x:row r="57" ht="23" customHeight="1">
      <x:c r="A57" s="2" t="str">
        <x:v>C013</x:v>
      </x:c>
      <x:c r="B57" s="2" t="str">
        <x:v>default</x:v>
      </x:c>
      <x:c r="C57" s="2" t="str">
        <x:v>comparison</x:v>
      </x:c>
      <x:c r="D57" s="2" t="str">
        <x:v>en</x:v>
      </x:c>
      <x:c r="E57" s="2" t="n">
        <x:v>1</x:v>
      </x:c>
      <x:c r="F57" s="2" t="n">
        <x:v>1</x:v>
      </x:c>
      <x:c r="G57" s="7" t="n">
        <x:v>27.65391079999972</x:v>
      </x:c>
      <x:c r="H57" s="2" t="n">
        <x:v>9526</x:v>
      </x:c>
      <x:c r="I57" s="2" t="n">
        <x:v>507</x:v>
      </x:c>
      <x:c r="J57" s="2" t="n">
        <x:v>0</x:v>
      </x:c>
      <x:c r="K57" s="2" t="n">
        <x:f>IF(J57&gt;0,"未知",SUM(H57:I57))</x:f>
        <x:v>10033</x:v>
      </x:c>
      <x:c r="L57" s="2" t="n">
        <x:v>4</x:v>
      </x:c>
      <x:c r="M57" s="2" t="n">
        <x:v>1</x:v>
      </x:c>
      <x:c r="N57" s="2" t="str">
        <x:v>task_complete</x:v>
      </x:c>
    </x:row>
    <x:row r="58" ht="23" customHeight="1">
      <x:c r="A58" s="2" t="str">
        <x:v>C014</x:v>
      </x:c>
      <x:c r="B58" s="2" t="str">
        <x:v>default</x:v>
      </x:c>
      <x:c r="C58" s="2" t="str">
        <x:v>comparison</x:v>
      </x:c>
      <x:c r="D58" s="2" t="str">
        <x:v>zh</x:v>
      </x:c>
      <x:c r="E58" s="2" t="n">
        <x:v>1</x:v>
      </x:c>
      <x:c r="F58" s="2" t="n">
        <x:v>2</x:v>
      </x:c>
      <x:c r="G58" s="7" t="n">
        <x:v>40.17568670000037</x:v>
      </x:c>
      <x:c r="H58" s="2" t="n">
        <x:v>19104</x:v>
      </x:c>
      <x:c r="I58" s="2" t="n">
        <x:v>573</x:v>
      </x:c>
      <x:c r="J58" s="2" t="n">
        <x:v>0</x:v>
      </x:c>
      <x:c r="K58" s="2" t="n">
        <x:f>IF(J58&gt;0,"未知",SUM(H58:I58))</x:f>
        <x:v>19677</x:v>
      </x:c>
      <x:c r="L58" s="2" t="n">
        <x:v>6</x:v>
      </x:c>
      <x:c r="M58" s="2" t="n">
        <x:v>1</x:v>
      </x:c>
      <x:c r="N58" s="2" t="str">
        <x:v>task_complete</x:v>
      </x:c>
    </x:row>
    <x:row r="59" ht="23" customHeight="1">
      <x:c r="A59" s="2" t="str">
        <x:v>C014</x:v>
      </x:c>
      <x:c r="B59" s="2" t="str">
        <x:v>no_rules</x:v>
      </x:c>
      <x:c r="C59" s="2" t="str">
        <x:v>comparison</x:v>
      </x:c>
      <x:c r="D59" s="2" t="str">
        <x:v>zh</x:v>
      </x:c>
      <x:c r="E59" s="2" t="n">
        <x:v>1</x:v>
      </x:c>
      <x:c r="F59" s="2" t="n">
        <x:v>1</x:v>
      </x:c>
      <x:c r="G59" s="7" t="n">
        <x:v>31.96231859999898</x:v>
      </x:c>
      <x:c r="H59" s="2" t="n">
        <x:v>10454</x:v>
      </x:c>
      <x:c r="I59" s="2" t="n">
        <x:v>551</x:v>
      </x:c>
      <x:c r="J59" s="2" t="n">
        <x:v>0</x:v>
      </x:c>
      <x:c r="K59" s="2" t="n">
        <x:f>IF(J59&gt;0,"未知",SUM(H59:I59))</x:f>
        <x:v>11005</x:v>
      </x:c>
      <x:c r="L59" s="2" t="n">
        <x:v>4</x:v>
      </x:c>
      <x:c r="M59" s="2" t="n">
        <x:v>1</x:v>
      </x:c>
      <x:c r="N59" s="2" t="str">
        <x:v>task_complete</x:v>
      </x:c>
    </x:row>
    <x:row r="60" ht="23" customHeight="1">
      <x:c r="A60" s="2" t="str">
        <x:v>C015</x:v>
      </x:c>
      <x:c r="B60" s="2" t="str">
        <x:v>no_rules</x:v>
      </x:c>
      <x:c r="C60" s="2" t="str">
        <x:v>comparison</x:v>
      </x:c>
      <x:c r="D60" s="2" t="str">
        <x:v>en</x:v>
      </x:c>
      <x:c r="E60" s="2" t="n">
        <x:v>0</x:v>
      </x:c>
      <x:c r="F60" s="2" t="n">
        <x:v>1</x:v>
      </x:c>
      <x:c r="G60" s="7" t="n">
        <x:v>6.964006700000027</x:v>
      </x:c>
      <x:c r="H60" s="2" t="n">
        <x:v>3969</x:v>
      </x:c>
      <x:c r="I60" s="2" t="n">
        <x:v>99</x:v>
      </x:c>
      <x:c r="J60" s="2" t="n">
        <x:v>0</x:v>
      </x:c>
      <x:c r="K60" s="2" t="n">
        <x:f>IF(J60&gt;0,"未知",SUM(H60:I60))</x:f>
        <x:v>4068</x:v>
      </x:c>
      <x:c r="L60" s="2" t="n">
        <x:v>2</x:v>
      </x:c>
      <x:c r="M60" s="2" t="n">
        <x:v>0</x:v>
      </x:c>
      <x:c r="N60" s="2" t="str">
        <x:v>error</x:v>
      </x:c>
    </x:row>
    <x:row r="61" ht="23" customHeight="1">
      <x:c r="A61" s="2" t="str">
        <x:v>C015</x:v>
      </x:c>
      <x:c r="B61" s="2" t="str">
        <x:v>default</x:v>
      </x:c>
      <x:c r="C61" s="2" t="str">
        <x:v>comparison</x:v>
      </x:c>
      <x:c r="D61" s="2" t="str">
        <x:v>en</x:v>
      </x:c>
      <x:c r="E61" s="2" t="n">
        <x:v>1</x:v>
      </x:c>
      <x:c r="F61" s="2" t="n">
        <x:v>1</x:v>
      </x:c>
      <x:c r="G61" s="7" t="n">
        <x:v>25.667627700000594</x:v>
      </x:c>
      <x:c r="H61" s="2" t="n">
        <x:v>9530</x:v>
      </x:c>
      <x:c r="I61" s="2" t="n">
        <x:v>347</x:v>
      </x:c>
      <x:c r="J61" s="2" t="n">
        <x:v>0</x:v>
      </x:c>
      <x:c r="K61" s="2" t="n">
        <x:f>IF(J61&gt;0,"未知",SUM(H61:I61))</x:f>
        <x:v>9877</x:v>
      </x:c>
      <x:c r="L61" s="2" t="n">
        <x:v>4</x:v>
      </x:c>
      <x:c r="M61" s="2" t="n">
        <x:v>1</x:v>
      </x:c>
      <x:c r="N61" s="2" t="str">
        <x:v>task_complete</x:v>
      </x:c>
    </x:row>
    <x:row r="62" ht="23" customHeight="1">
      <x:c r="A62" s="2" t="str">
        <x:v>S001</x:v>
      </x:c>
      <x:c r="B62" s="2" t="str">
        <x:v>default</x:v>
      </x:c>
      <x:c r="C62" s="2" t="str">
        <x:v>synthesis</x:v>
      </x:c>
      <x:c r="D62" s="2" t="str">
        <x:v>zh</x:v>
      </x:c>
      <x:c r="E62" s="2" t="n">
        <x:v>1</x:v>
      </x:c>
      <x:c r="F62" s="2" t="n">
        <x:v>1</x:v>
      </x:c>
      <x:c r="G62" s="7" t="n">
        <x:v>30.14530139999988</x:v>
      </x:c>
      <x:c r="H62" s="2" t="n">
        <x:v>10551</x:v>
      </x:c>
      <x:c r="I62" s="2" t="n">
        <x:v>533</x:v>
      </x:c>
      <x:c r="J62" s="2" t="n">
        <x:v>0</x:v>
      </x:c>
      <x:c r="K62" s="2" t="n">
        <x:f>IF(J62&gt;0,"未知",SUM(H62:I62))</x:f>
        <x:v>11084</x:v>
      </x:c>
      <x:c r="L62" s="2" t="n">
        <x:v>4</x:v>
      </x:c>
      <x:c r="M62" s="2" t="n">
        <x:v>1</x:v>
      </x:c>
      <x:c r="N62" s="2" t="str">
        <x:v>task_complete</x:v>
      </x:c>
    </x:row>
    <x:row r="63" ht="23" customHeight="1">
      <x:c r="A63" s="2" t="str">
        <x:v>S001</x:v>
      </x:c>
      <x:c r="B63" s="2" t="str">
        <x:v>no_rules</x:v>
      </x:c>
      <x:c r="C63" s="2" t="str">
        <x:v>synthesis</x:v>
      </x:c>
      <x:c r="D63" s="2" t="str">
        <x:v>zh</x:v>
      </x:c>
      <x:c r="E63" s="2" t="n">
        <x:v>1</x:v>
      </x:c>
      <x:c r="F63" s="2" t="n">
        <x:v>1</x:v>
      </x:c>
      <x:c r="G63" s="7" t="n">
        <x:v>31.056558000000223</x:v>
      </x:c>
      <x:c r="H63" s="2" t="n">
        <x:v>10535</x:v>
      </x:c>
      <x:c r="I63" s="2" t="n">
        <x:v>544</x:v>
      </x:c>
      <x:c r="J63" s="2" t="n">
        <x:v>0</x:v>
      </x:c>
      <x:c r="K63" s="2" t="n">
        <x:f>IF(J63&gt;0,"未知",SUM(H63:I63))</x:f>
        <x:v>11079</x:v>
      </x:c>
      <x:c r="L63" s="2" t="n">
        <x:v>4</x:v>
      </x:c>
      <x:c r="M63" s="2" t="n">
        <x:v>1</x:v>
      </x:c>
      <x:c r="N63" s="2" t="str">
        <x:v>task_complete</x:v>
      </x:c>
    </x:row>
    <x:row r="64" ht="23" customHeight="1">
      <x:c r="A64" s="2" t="str">
        <x:v>S002</x:v>
      </x:c>
      <x:c r="B64" s="2" t="str">
        <x:v>no_rules</x:v>
      </x:c>
      <x:c r="C64" s="2" t="str">
        <x:v>synthesis</x:v>
      </x:c>
      <x:c r="D64" s="2" t="str">
        <x:v>en</x:v>
      </x:c>
      <x:c r="E64" s="2" t="n">
        <x:v>1</x:v>
      </x:c>
      <x:c r="F64" s="2" t="n">
        <x:v>1</x:v>
      </x:c>
      <x:c r="G64" s="7" t="n">
        <x:v>18.16581589999987</x:v>
      </x:c>
      <x:c r="H64" s="2" t="n">
        <x:v>8498</x:v>
      </x:c>
      <x:c r="I64" s="2" t="n">
        <x:v>159</x:v>
      </x:c>
      <x:c r="J64" s="2" t="n">
        <x:v>0</x:v>
      </x:c>
      <x:c r="K64" s="2" t="n">
        <x:f>IF(J64&gt;0,"未知",SUM(H64:I64))</x:f>
        <x:v>8657</x:v>
      </x:c>
      <x:c r="L64" s="2" t="n">
        <x:v>4</x:v>
      </x:c>
      <x:c r="M64" s="2" t="n">
        <x:v>0</x:v>
      </x:c>
      <x:c r="N64" s="2" t="str">
        <x:v>incomplete</x:v>
      </x:c>
    </x:row>
    <x:row r="65" ht="23" customHeight="1">
      <x:c r="A65" s="2" t="str">
        <x:v>S002</x:v>
      </x:c>
      <x:c r="B65" s="2" t="str">
        <x:v>default</x:v>
      </x:c>
      <x:c r="C65" s="2" t="str">
        <x:v>synthesis</x:v>
      </x:c>
      <x:c r="D65" s="2" t="str">
        <x:v>en</x:v>
      </x:c>
      <x:c r="E65" s="2" t="n">
        <x:v>1</x:v>
      </x:c>
      <x:c r="F65" s="2" t="n">
        <x:v>1</x:v>
      </x:c>
      <x:c r="G65" s="7" t="n">
        <x:v>17.845352000000275</x:v>
      </x:c>
      <x:c r="H65" s="2" t="n">
        <x:v>8502</x:v>
      </x:c>
      <x:c r="I65" s="2" t="n">
        <x:v>161</x:v>
      </x:c>
      <x:c r="J65" s="2" t="n">
        <x:v>0</x:v>
      </x:c>
      <x:c r="K65" s="2" t="n">
        <x:f>IF(J65&gt;0,"未知",SUM(H65:I65))</x:f>
        <x:v>8663</x:v>
      </x:c>
      <x:c r="L65" s="2" t="n">
        <x:v>4</x:v>
      </x:c>
      <x:c r="M65" s="2" t="n">
        <x:v>0</x:v>
      </x:c>
      <x:c r="N65" s="2" t="str">
        <x:v>incomplete</x:v>
      </x:c>
    </x:row>
    <x:row r="66" ht="23" customHeight="1">
      <x:c r="A66" s="2" t="str">
        <x:v>S003</x:v>
      </x:c>
      <x:c r="B66" s="2" t="str">
        <x:v>default</x:v>
      </x:c>
      <x:c r="C66" s="2" t="str">
        <x:v>synthesis</x:v>
      </x:c>
      <x:c r="D66" s="2" t="str">
        <x:v>zh</x:v>
      </x:c>
      <x:c r="E66" s="2" t="n">
        <x:v>1</x:v>
      </x:c>
      <x:c r="F66" s="2" t="n">
        <x:v>1</x:v>
      </x:c>
      <x:c r="G66" s="7" t="n">
        <x:v>18.759370499999932</x:v>
      </x:c>
      <x:c r="H66" s="2" t="n">
        <x:v>8451</x:v>
      </x:c>
      <x:c r="I66" s="2" t="n">
        <x:v>174</x:v>
      </x:c>
      <x:c r="J66" s="2" t="n">
        <x:v>0</x:v>
      </x:c>
      <x:c r="K66" s="2" t="n">
        <x:f>IF(J66&gt;0,"未知",SUM(H66:I66))</x:f>
        <x:v>8625</x:v>
      </x:c>
      <x:c r="L66" s="2" t="n">
        <x:v>4</x:v>
      </x:c>
      <x:c r="M66" s="2" t="n">
        <x:v>0</x:v>
      </x:c>
      <x:c r="N66" s="2" t="str">
        <x:v>incomplete</x:v>
      </x:c>
    </x:row>
    <x:row r="67" ht="23" customHeight="1">
      <x:c r="A67" s="2" t="str">
        <x:v>S003</x:v>
      </x:c>
      <x:c r="B67" s="2" t="str">
        <x:v>no_rules</x:v>
      </x:c>
      <x:c r="C67" s="2" t="str">
        <x:v>synthesis</x:v>
      </x:c>
      <x:c r="D67" s="2" t="str">
        <x:v>zh</x:v>
      </x:c>
      <x:c r="E67" s="2" t="n">
        <x:v>1</x:v>
      </x:c>
      <x:c r="F67" s="2" t="n">
        <x:v>1</x:v>
      </x:c>
      <x:c r="G67" s="7" t="n">
        <x:v>17.693382499997824</x:v>
      </x:c>
      <x:c r="H67" s="2" t="n">
        <x:v>8449</x:v>
      </x:c>
      <x:c r="I67" s="2" t="n">
        <x:v>176</x:v>
      </x:c>
      <x:c r="J67" s="2" t="n">
        <x:v>0</x:v>
      </x:c>
      <x:c r="K67" s="2" t="n">
        <x:f>IF(J67&gt;0,"未知",SUM(H67:I67))</x:f>
        <x:v>8625</x:v>
      </x:c>
      <x:c r="L67" s="2" t="n">
        <x:v>4</x:v>
      </x:c>
      <x:c r="M67" s="2" t="n">
        <x:v>0</x:v>
      </x:c>
      <x:c r="N67" s="2" t="str">
        <x:v>incomplete</x:v>
      </x:c>
    </x:row>
    <x:row r="68" ht="23" customHeight="1">
      <x:c r="A68" s="2" t="str">
        <x:v>S004</x:v>
      </x:c>
      <x:c r="B68" s="2" t="str">
        <x:v>no_rules</x:v>
      </x:c>
      <x:c r="C68" s="2" t="str">
        <x:v>synthesis</x:v>
      </x:c>
      <x:c r="D68" s="2" t="str">
        <x:v>en</x:v>
      </x:c>
      <x:c r="E68" s="2" t="n">
        <x:v>1</x:v>
      </x:c>
      <x:c r="F68" s="2" t="n">
        <x:v>1</x:v>
      </x:c>
      <x:c r="G68" s="7" t="n">
        <x:v>30.886941100001422</x:v>
      </x:c>
      <x:c r="H68" s="2" t="n">
        <x:v>10015</x:v>
      </x:c>
      <x:c r="I68" s="2" t="n">
        <x:v>577</x:v>
      </x:c>
      <x:c r="J68" s="2" t="n">
        <x:v>0</x:v>
      </x:c>
      <x:c r="K68" s="2" t="n">
        <x:f>IF(J68&gt;0,"未知",SUM(H68:I68))</x:f>
        <x:v>10592</x:v>
      </x:c>
      <x:c r="L68" s="2" t="n">
        <x:v>4</x:v>
      </x:c>
      <x:c r="M68" s="2" t="n">
        <x:v>1</x:v>
      </x:c>
      <x:c r="N68" s="2" t="str">
        <x:v>task_complete</x:v>
      </x:c>
    </x:row>
    <x:row r="69" ht="23" customHeight="1">
      <x:c r="A69" s="2" t="str">
        <x:v>S004</x:v>
      </x:c>
      <x:c r="B69" s="2" t="str">
        <x:v>default</x:v>
      </x:c>
      <x:c r="C69" s="2" t="str">
        <x:v>synthesis</x:v>
      </x:c>
      <x:c r="D69" s="2" t="str">
        <x:v>en</x:v>
      </x:c>
      <x:c r="E69" s="2" t="n">
        <x:v>1</x:v>
      </x:c>
      <x:c r="F69" s="2" t="n">
        <x:v>1</x:v>
      </x:c>
      <x:c r="G69" s="7" t="n">
        <x:v>24.983421799999633</x:v>
      </x:c>
      <x:c r="H69" s="2" t="n">
        <x:v>9919</x:v>
      </x:c>
      <x:c r="I69" s="2" t="n">
        <x:v>401</x:v>
      </x:c>
      <x:c r="J69" s="2" t="n">
        <x:v>0</x:v>
      </x:c>
      <x:c r="K69" s="2" t="n">
        <x:f>IF(J69&gt;0,"未知",SUM(H69:I69))</x:f>
        <x:v>10320</x:v>
      </x:c>
      <x:c r="L69" s="2" t="n">
        <x:v>4</x:v>
      </x:c>
      <x:c r="M69" s="2" t="n">
        <x:v>1</x:v>
      </x:c>
      <x:c r="N69" s="2" t="str">
        <x:v>task_complete</x:v>
      </x:c>
    </x:row>
    <x:row r="70" ht="23" customHeight="1">
      <x:c r="A70" s="2" t="str">
        <x:v>S005</x:v>
      </x:c>
      <x:c r="B70" s="2" t="str">
        <x:v>default</x:v>
      </x:c>
      <x:c r="C70" s="2" t="str">
        <x:v>synthesis</x:v>
      </x:c>
      <x:c r="D70" s="2" t="str">
        <x:v>zh</x:v>
      </x:c>
      <x:c r="E70" s="2" t="n">
        <x:v>1</x:v>
      </x:c>
      <x:c r="F70" s="2" t="n">
        <x:v>1</x:v>
      </x:c>
      <x:c r="G70" s="7" t="n">
        <x:v>38.17379129999972</x:v>
      </x:c>
      <x:c r="H70" s="2" t="n">
        <x:v>10788</x:v>
      </x:c>
      <x:c r="I70" s="2" t="n">
        <x:v>748</x:v>
      </x:c>
      <x:c r="J70" s="2" t="n">
        <x:v>0</x:v>
      </x:c>
      <x:c r="K70" s="2" t="n">
        <x:f>IF(J70&gt;0,"未知",SUM(H70:I70))</x:f>
        <x:v>11536</x:v>
      </x:c>
      <x:c r="L70" s="2" t="n">
        <x:v>4</x:v>
      </x:c>
      <x:c r="M70" s="2" t="n">
        <x:v>1</x:v>
      </x:c>
      <x:c r="N70" s="2" t="str">
        <x:v>task_complete</x:v>
      </x:c>
    </x:row>
    <x:row r="71" ht="23" customHeight="1">
      <x:c r="A71" s="2" t="str">
        <x:v>S005</x:v>
      </x:c>
      <x:c r="B71" s="2" t="str">
        <x:v>no_rules</x:v>
      </x:c>
      <x:c r="C71" s="2" t="str">
        <x:v>synthesis</x:v>
      </x:c>
      <x:c r="D71" s="2" t="str">
        <x:v>zh</x:v>
      </x:c>
      <x:c r="E71" s="2" t="n">
        <x:v>1</x:v>
      </x:c>
      <x:c r="F71" s="2" t="n">
        <x:v>1</x:v>
      </x:c>
      <x:c r="G71" s="7" t="n">
        <x:v>36.28698489999806</x:v>
      </x:c>
      <x:c r="H71" s="2" t="n">
        <x:v>10771</x:v>
      </x:c>
      <x:c r="I71" s="2" t="n">
        <x:v>740</x:v>
      </x:c>
      <x:c r="J71" s="2" t="n">
        <x:v>0</x:v>
      </x:c>
      <x:c r="K71" s="2" t="n">
        <x:f>IF(J71&gt;0,"未知",SUM(H71:I71))</x:f>
        <x:v>11511</x:v>
      </x:c>
      <x:c r="L71" s="2" t="n">
        <x:v>4</x:v>
      </x:c>
      <x:c r="M71" s="2" t="n">
        <x:v>1</x:v>
      </x:c>
      <x:c r="N71" s="2" t="str">
        <x:v>task_complete</x:v>
      </x:c>
    </x:row>
    <x:row r="72" ht="23" customHeight="1">
      <x:c r="A72" s="2" t="str">
        <x:v>S006</x:v>
      </x:c>
      <x:c r="B72" s="2" t="str">
        <x:v>no_rules</x:v>
      </x:c>
      <x:c r="C72" s="2" t="str">
        <x:v>synthesis</x:v>
      </x:c>
      <x:c r="D72" s="2" t="str">
        <x:v>en</x:v>
      </x:c>
      <x:c r="E72" s="2" t="n">
        <x:v>0</x:v>
      </x:c>
      <x:c r="F72" s="2" t="n">
        <x:v>1</x:v>
      </x:c>
      <x:c r="G72" s="7" t="n">
        <x:v>6.941078700001526</x:v>
      </x:c>
      <x:c r="H72" s="2" t="n">
        <x:v>3977</x:v>
      </x:c>
      <x:c r="I72" s="2" t="n">
        <x:v>100</x:v>
      </x:c>
      <x:c r="J72" s="2" t="n">
        <x:v>0</x:v>
      </x:c>
      <x:c r="K72" s="2" t="n">
        <x:f>IF(J72&gt;0,"未知",SUM(H72:I72))</x:f>
        <x:v>4077</x:v>
      </x:c>
      <x:c r="L72" s="2" t="n">
        <x:v>2</x:v>
      </x:c>
      <x:c r="M72" s="2" t="n">
        <x:v>0</x:v>
      </x:c>
      <x:c r="N72" s="2" t="str">
        <x:v>error</x:v>
      </x:c>
    </x:row>
    <x:row r="73" ht="23" customHeight="1">
      <x:c r="A73" s="2" t="str">
        <x:v>S006</x:v>
      </x:c>
      <x:c r="B73" s="2" t="str">
        <x:v>default</x:v>
      </x:c>
      <x:c r="C73" s="2" t="str">
        <x:v>synthesis</x:v>
      </x:c>
      <x:c r="D73" s="2" t="str">
        <x:v>en</x:v>
      </x:c>
      <x:c r="E73" s="2" t="n">
        <x:v>0</x:v>
      </x:c>
      <x:c r="F73" s="2" t="n">
        <x:v>1</x:v>
      </x:c>
      <x:c r="G73" s="7" t="n">
        <x:v>8.118876700002147</x:v>
      </x:c>
      <x:c r="H73" s="2" t="n">
        <x:v>3977</x:v>
      </x:c>
      <x:c r="I73" s="2" t="n">
        <x:v>100</x:v>
      </x:c>
      <x:c r="J73" s="2" t="n">
        <x:v>0</x:v>
      </x:c>
      <x:c r="K73" s="2" t="n">
        <x:f>IF(J73&gt;0,"未知",SUM(H73:I73))</x:f>
        <x:v>4077</x:v>
      </x:c>
      <x:c r="L73" s="2" t="n">
        <x:v>2</x:v>
      </x:c>
      <x:c r="M73" s="2" t="n">
        <x:v>0</x:v>
      </x:c>
      <x:c r="N73" s="2" t="str">
        <x:v>error</x:v>
      </x:c>
    </x:row>
    <x:row r="74" ht="23" customHeight="1">
      <x:c r="A74" s="2" t="str">
        <x:v>S007</x:v>
      </x:c>
      <x:c r="B74" s="2" t="str">
        <x:v>default</x:v>
      </x:c>
      <x:c r="C74" s="2" t="str">
        <x:v>synthesis</x:v>
      </x:c>
      <x:c r="D74" s="2" t="str">
        <x:v>zh</x:v>
      </x:c>
      <x:c r="E74" s="2" t="n">
        <x:v>1</x:v>
      </x:c>
      <x:c r="F74" s="2" t="n">
        <x:v>1</x:v>
      </x:c>
      <x:c r="G74" s="7" t="n">
        <x:v>34.77824529999998</x:v>
      </x:c>
      <x:c r="H74" s="2" t="n">
        <x:v>10320</x:v>
      </x:c>
      <x:c r="I74" s="2" t="n">
        <x:v>595</x:v>
      </x:c>
      <x:c r="J74" s="2" t="n">
        <x:v>0</x:v>
      </x:c>
      <x:c r="K74" s="2" t="n">
        <x:f>IF(J74&gt;0,"未知",SUM(H74:I74))</x:f>
        <x:v>10915</x:v>
      </x:c>
      <x:c r="L74" s="2" t="n">
        <x:v>4</x:v>
      </x:c>
      <x:c r="M74" s="2" t="n">
        <x:v>1</x:v>
      </x:c>
      <x:c r="N74" s="2" t="str">
        <x:v>task_complete</x:v>
      </x:c>
    </x:row>
    <x:row r="75" ht="23" customHeight="1">
      <x:c r="A75" s="2" t="str">
        <x:v>S007</x:v>
      </x:c>
      <x:c r="B75" s="2" t="str">
        <x:v>no_rules</x:v>
      </x:c>
      <x:c r="C75" s="2" t="str">
        <x:v>synthesis</x:v>
      </x:c>
      <x:c r="D75" s="2" t="str">
        <x:v>zh</x:v>
      </x:c>
      <x:c r="E75" s="2" t="n">
        <x:v>1</x:v>
      </x:c>
      <x:c r="F75" s="2" t="n">
        <x:v>1</x:v>
      </x:c>
      <x:c r="G75" s="7" t="n">
        <x:v>32.412466400000994</x:v>
      </x:c>
      <x:c r="H75" s="2" t="n">
        <x:v>9986</x:v>
      </x:c>
      <x:c r="I75" s="2" t="n">
        <x:v>581</x:v>
      </x:c>
      <x:c r="J75" s="2" t="n">
        <x:v>0</x:v>
      </x:c>
      <x:c r="K75" s="2" t="n">
        <x:f>IF(J75&gt;0,"未知",SUM(H75:I75))</x:f>
        <x:v>10567</x:v>
      </x:c>
      <x:c r="L75" s="2" t="n">
        <x:v>4</x:v>
      </x:c>
      <x:c r="M75" s="2" t="n">
        <x:v>1</x:v>
      </x:c>
      <x:c r="N75" s="2" t="str">
        <x:v>task_complete</x:v>
      </x:c>
    </x:row>
    <x:row r="76" ht="23" customHeight="1">
      <x:c r="A76" s="2" t="str">
        <x:v>S008</x:v>
      </x:c>
      <x:c r="B76" s="2" t="str">
        <x:v>no_rules</x:v>
      </x:c>
      <x:c r="C76" s="2" t="str">
        <x:v>synthesis</x:v>
      </x:c>
      <x:c r="D76" s="2" t="str">
        <x:v>en</x:v>
      </x:c>
      <x:c r="E76" s="2" t="n">
        <x:v>1</x:v>
      </x:c>
      <x:c r="F76" s="2" t="n">
        <x:v>2</x:v>
      </x:c>
      <x:c r="G76" s="7" t="n">
        <x:v>40.93066850000105</x:v>
      </x:c>
      <x:c r="H76" s="2" t="n">
        <x:v>18388</x:v>
      </x:c>
      <x:c r="I76" s="2" t="n">
        <x:v>614</x:v>
      </x:c>
      <x:c r="J76" s="2" t="n">
        <x:v>0</x:v>
      </x:c>
      <x:c r="K76" s="2" t="n">
        <x:f>IF(J76&gt;0,"未知",SUM(H76:I76))</x:f>
        <x:v>19002</x:v>
      </x:c>
      <x:c r="L76" s="2" t="n">
        <x:v>6</x:v>
      </x:c>
      <x:c r="M76" s="2" t="n">
        <x:v>1</x:v>
      </x:c>
      <x:c r="N76" s="2" t="str">
        <x:v>task_complete</x:v>
      </x:c>
    </x:row>
    <x:row r="77" ht="23" customHeight="1">
      <x:c r="A77" s="2" t="str">
        <x:v>S008</x:v>
      </x:c>
      <x:c r="B77" s="2" t="str">
        <x:v>default</x:v>
      </x:c>
      <x:c r="C77" s="2" t="str">
        <x:v>synthesis</x:v>
      </x:c>
      <x:c r="D77" s="2" t="str">
        <x:v>en</x:v>
      </x:c>
      <x:c r="E77" s="2" t="n">
        <x:v>1</x:v>
      </x:c>
      <x:c r="F77" s="2" t="n">
        <x:v>2</x:v>
      </x:c>
      <x:c r="G77" s="7" t="n">
        <x:v>40.15213210000002</x:v>
      </x:c>
      <x:c r="H77" s="2" t="n">
        <x:v>18380</x:v>
      </x:c>
      <x:c r="I77" s="2" t="n">
        <x:v>614</x:v>
      </x:c>
      <x:c r="J77" s="2" t="n">
        <x:v>0</x:v>
      </x:c>
      <x:c r="K77" s="2" t="n">
        <x:f>IF(J77&gt;0,"未知",SUM(H77:I77))</x:f>
        <x:v>18994</x:v>
      </x:c>
      <x:c r="L77" s="2" t="n">
        <x:v>6</x:v>
      </x:c>
      <x:c r="M77" s="2" t="n">
        <x:v>1</x:v>
      </x:c>
      <x:c r="N77" s="2" t="str">
        <x:v>task_complete</x:v>
      </x:c>
    </x:row>
    <x:row r="78" ht="23" customHeight="1">
      <x:c r="A78" s="2" t="str">
        <x:v>S009</x:v>
      </x:c>
      <x:c r="B78" s="2" t="str">
        <x:v>default</x:v>
      </x:c>
      <x:c r="C78" s="2" t="str">
        <x:v>synthesis</x:v>
      </x:c>
      <x:c r="D78" s="2" t="str">
        <x:v>zh</x:v>
      </x:c>
      <x:c r="E78" s="2" t="n">
        <x:v>0</x:v>
      </x:c>
      <x:c r="F78" s="2" t="n">
        <x:v>2</x:v>
      </x:c>
      <x:c r="G78" s="7" t="n">
        <x:v>64.33935030000066</x:v>
      </x:c>
      <x:c r="H78" s="2" t="n">
        <x:v>2856</x:v>
      </x:c>
      <x:c r="I78" s="2" t="n">
        <x:v>142</x:v>
      </x:c>
      <x:c r="J78" s="2" t="n">
        <x:v>0</x:v>
      </x:c>
      <x:c r="K78" s="2" t="n">
        <x:f>IF(J78&gt;0,"未知",SUM(H78:I78))</x:f>
        <x:v>2998</x:v>
      </x:c>
      <x:c r="L78" s="2" t="n">
        <x:v>1</x:v>
      </x:c>
      <x:c r="M78" s="2" t="n">
        <x:v>0</x:v>
      </x:c>
      <x:c r="N78" s="2" t="str">
        <x:v>incomplete</x:v>
      </x:c>
    </x:row>
    <x:row r="79" ht="23" customHeight="1">
      <x:c r="A79" s="2" t="str">
        <x:v>S009</x:v>
      </x:c>
      <x:c r="B79" s="2" t="str">
        <x:v>no_rules</x:v>
      </x:c>
      <x:c r="C79" s="2" t="str">
        <x:v>synthesis</x:v>
      </x:c>
      <x:c r="D79" s="2" t="str">
        <x:v>zh</x:v>
      </x:c>
      <x:c r="E79" s="2" t="n">
        <x:v>0</x:v>
      </x:c>
      <x:c r="F79" s="2" t="n">
        <x:v>2</x:v>
      </x:c>
      <x:c r="G79" s="7" t="n">
        <x:v>80.41074859999935</x:v>
      </x:c>
      <x:c r="H79" s="2" t="n">
        <x:v>12677</x:v>
      </x:c>
      <x:c r="I79" s="2" t="n">
        <x:v>273</x:v>
      </x:c>
      <x:c r="J79" s="2" t="n">
        <x:v>0</x:v>
      </x:c>
      <x:c r="K79" s="2" t="n">
        <x:f>IF(J79&gt;0,"未知",SUM(H79:I79))</x:f>
        <x:v>12950</x:v>
      </x:c>
      <x:c r="L79" s="2" t="n">
        <x:v>4</x:v>
      </x:c>
      <x:c r="M79" s="2" t="n">
        <x:v>0</x:v>
      </x:c>
      <x:c r="N79" s="2" t="str">
        <x:v>incomplete</x:v>
      </x:c>
    </x:row>
    <x:row r="80" ht="23" customHeight="1">
      <x:c r="A80" s="2" t="str">
        <x:v>S010</x:v>
      </x:c>
      <x:c r="B80" s="2" t="str">
        <x:v>no_rules</x:v>
      </x:c>
      <x:c r="C80" s="2" t="str">
        <x:v>synthesis</x:v>
      </x:c>
      <x:c r="D80" s="2" t="str">
        <x:v>en</x:v>
      </x:c>
      <x:c r="E80" s="2" t="n">
        <x:v>1</x:v>
      </x:c>
      <x:c r="F80" s="2" t="n">
        <x:v>1</x:v>
      </x:c>
      <x:c r="G80" s="7" t="n">
        <x:v>20.58824739999909</x:v>
      </x:c>
      <x:c r="H80" s="2" t="n">
        <x:v>9384</x:v>
      </x:c>
      <x:c r="I80" s="2" t="n">
        <x:v>316</x:v>
      </x:c>
      <x:c r="J80" s="2" t="n">
        <x:v>0</x:v>
      </x:c>
      <x:c r="K80" s="2" t="n">
        <x:f>IF(J80&gt;0,"未知",SUM(H80:I80))</x:f>
        <x:v>9700</x:v>
      </x:c>
      <x:c r="L80" s="2" t="n">
        <x:v>4</x:v>
      </x:c>
      <x:c r="M80" s="2" t="n">
        <x:v>1</x:v>
      </x:c>
      <x:c r="N80" s="2" t="str">
        <x:v>task_complete</x:v>
      </x:c>
    </x:row>
    <x:row r="81" ht="23" customHeight="1">
      <x:c r="A81" s="2" t="str">
        <x:v>S010</x:v>
      </x:c>
      <x:c r="B81" s="2" t="str">
        <x:v>default</x:v>
      </x:c>
      <x:c r="C81" s="2" t="str">
        <x:v>synthesis</x:v>
      </x:c>
      <x:c r="D81" s="2" t="str">
        <x:v>en</x:v>
      </x:c>
      <x:c r="E81" s="2" t="n">
        <x:v>1</x:v>
      </x:c>
      <x:c r="F81" s="2" t="n">
        <x:v>2</x:v>
      </x:c>
      <x:c r="G81" s="7" t="n">
        <x:v>27.686064299999998</x:v>
      </x:c>
      <x:c r="H81" s="2" t="n">
        <x:v>17028</x:v>
      </x:c>
      <x:c r="I81" s="2" t="n">
        <x:v>355</x:v>
      </x:c>
      <x:c r="J81" s="2" t="n">
        <x:v>0</x:v>
      </x:c>
      <x:c r="K81" s="2" t="n">
        <x:f>IF(J81&gt;0,"未知",SUM(H81:I81))</x:f>
        <x:v>17383</x:v>
      </x:c>
      <x:c r="L81" s="2" t="n">
        <x:v>6</x:v>
      </x:c>
      <x:c r="M81" s="2" t="n">
        <x:v>1</x:v>
      </x:c>
      <x:c r="N81" s="2" t="str">
        <x:v>task_complete</x:v>
      </x:c>
    </x:row>
    <x:row r="82" ht="23" customHeight="1">
      <x:c r="A82" s="2" t="str">
        <x:v>S011</x:v>
      </x:c>
      <x:c r="B82" s="2" t="str">
        <x:v>default</x:v>
      </x:c>
      <x:c r="C82" s="2" t="str">
        <x:v>synthesis</x:v>
      </x:c>
      <x:c r="D82" s="2" t="str">
        <x:v>zh</x:v>
      </x:c>
      <x:c r="E82" s="2" t="n">
        <x:v>1</x:v>
      </x:c>
      <x:c r="F82" s="2" t="n">
        <x:v>2</x:v>
      </x:c>
      <x:c r="G82" s="7" t="n">
        <x:v>39.11877800000002</x:v>
      </x:c>
      <x:c r="H82" s="2" t="n">
        <x:v>18950</x:v>
      </x:c>
      <x:c r="I82" s="2" t="n">
        <x:v>677</x:v>
      </x:c>
      <x:c r="J82" s="2" t="n">
        <x:v>0</x:v>
      </x:c>
      <x:c r="K82" s="2" t="n">
        <x:f>IF(J82&gt;0,"未知",SUM(H82:I82))</x:f>
        <x:v>19627</x:v>
      </x:c>
      <x:c r="L82" s="2" t="n">
        <x:v>6</x:v>
      </x:c>
      <x:c r="M82" s="2" t="n">
        <x:v>1</x:v>
      </x:c>
      <x:c r="N82" s="2" t="str">
        <x:v>task_complete</x:v>
      </x:c>
    </x:row>
    <x:row r="83" ht="23" customHeight="1">
      <x:c r="A83" s="2" t="str">
        <x:v>S011</x:v>
      </x:c>
      <x:c r="B83" s="2" t="str">
        <x:v>no_rules</x:v>
      </x:c>
      <x:c r="C83" s="2" t="str">
        <x:v>synthesis</x:v>
      </x:c>
      <x:c r="D83" s="2" t="str">
        <x:v>zh</x:v>
      </x:c>
      <x:c r="E83" s="2" t="n">
        <x:v>1</x:v>
      </x:c>
      <x:c r="F83" s="2" t="n">
        <x:v>3</x:v>
      </x:c>
      <x:c r="G83" s="7" t="n">
        <x:v>62.23273809999955</x:v>
      </x:c>
      <x:c r="H83" s="2" t="n">
        <x:v>31535</x:v>
      </x:c>
      <x:c r="I83" s="2" t="n">
        <x:v>1016</x:v>
      </x:c>
      <x:c r="J83" s="2" t="n">
        <x:v>0</x:v>
      </x:c>
      <x:c r="K83" s="2" t="n">
        <x:f>IF(J83&gt;0,"未知",SUM(H83:I83))</x:f>
        <x:v>32551</x:v>
      </x:c>
      <x:c r="L83" s="2" t="n">
        <x:v>10</x:v>
      </x:c>
      <x:c r="M83" s="2" t="n">
        <x:v>1</x:v>
      </x:c>
      <x:c r="N83" s="2" t="str">
        <x:v>task_complete</x:v>
      </x:c>
    </x:row>
    <x:row r="84" ht="23" customHeight="1">
      <x:c r="A84" s="2" t="str">
        <x:v>S012</x:v>
      </x:c>
      <x:c r="B84" s="2" t="str">
        <x:v>no_rules</x:v>
      </x:c>
      <x:c r="C84" s="2" t="str">
        <x:v>synthesis</x:v>
      </x:c>
      <x:c r="D84" s="2" t="str">
        <x:v>en</x:v>
      </x:c>
      <x:c r="E84" s="2" t="n">
        <x:v>1</x:v>
      </x:c>
      <x:c r="F84" s="2" t="n">
        <x:v>1</x:v>
      </x:c>
      <x:c r="G84" s="7" t="n">
        <x:v>33.520282000001316</x:v>
      </x:c>
      <x:c r="H84" s="2" t="n">
        <x:v>10834</x:v>
      </x:c>
      <x:c r="I84" s="2" t="n">
        <x:v>660</x:v>
      </x:c>
      <x:c r="J84" s="2" t="n">
        <x:v>0</x:v>
      </x:c>
      <x:c r="K84" s="2" t="n">
        <x:f>IF(J84&gt;0,"未知",SUM(H84:I84))</x:f>
        <x:v>11494</x:v>
      </x:c>
      <x:c r="L84" s="2" t="n">
        <x:v>4</x:v>
      </x:c>
      <x:c r="M84" s="2" t="n">
        <x:v>1</x:v>
      </x:c>
      <x:c r="N84" s="2" t="str">
        <x:v>task_complete</x:v>
      </x:c>
    </x:row>
    <x:row r="85" ht="23" customHeight="1">
      <x:c r="A85" s="2" t="str">
        <x:v>S012</x:v>
      </x:c>
      <x:c r="B85" s="2" t="str">
        <x:v>default</x:v>
      </x:c>
      <x:c r="C85" s="2" t="str">
        <x:v>synthesis</x:v>
      </x:c>
      <x:c r="D85" s="2" t="str">
        <x:v>en</x:v>
      </x:c>
      <x:c r="E85" s="2" t="n">
        <x:v>1</x:v>
      </x:c>
      <x:c r="F85" s="2" t="n">
        <x:v>1</x:v>
      </x:c>
      <x:c r="G85" s="7" t="n">
        <x:v>30.739548800000193</x:v>
      </x:c>
      <x:c r="H85" s="2" t="n">
        <x:v>10302</x:v>
      </x:c>
      <x:c r="I85" s="2" t="n">
        <x:v>598</x:v>
      </x:c>
      <x:c r="J85" s="2" t="n">
        <x:v>0</x:v>
      </x:c>
      <x:c r="K85" s="2" t="n">
        <x:f>IF(J85&gt;0,"未知",SUM(H85:I85))</x:f>
        <x:v>10900</x:v>
      </x:c>
      <x:c r="L85" s="2" t="n">
        <x:v>4</x:v>
      </x:c>
      <x:c r="M85" s="2" t="n">
        <x:v>1</x:v>
      </x:c>
      <x:c r="N85" s="2" t="str">
        <x:v>task_complete</x:v>
      </x:c>
    </x:row>
    <x:row r="86" ht="23" customHeight="1">
      <x:c r="A86" s="2" t="str">
        <x:v>S013</x:v>
      </x:c>
      <x:c r="B86" s="2" t="str">
        <x:v>default</x:v>
      </x:c>
      <x:c r="C86" s="2" t="str">
        <x:v>synthesis</x:v>
      </x:c>
      <x:c r="D86" s="2" t="str">
        <x:v>zh</x:v>
      </x:c>
      <x:c r="E86" s="2" t="n">
        <x:v>1</x:v>
      </x:c>
      <x:c r="F86" s="2" t="n">
        <x:v>1</x:v>
      </x:c>
      <x:c r="G86" s="7" t="n">
        <x:v>37.33934329999829</x:v>
      </x:c>
      <x:c r="H86" s="2" t="n">
        <x:v>10551</x:v>
      </x:c>
      <x:c r="I86" s="2" t="n">
        <x:v>754</x:v>
      </x:c>
      <x:c r="J86" s="2" t="n">
        <x:v>0</x:v>
      </x:c>
      <x:c r="K86" s="2" t="n">
        <x:f>IF(J86&gt;0,"未知",SUM(H86:I86))</x:f>
        <x:v>11305</x:v>
      </x:c>
      <x:c r="L86" s="2" t="n">
        <x:v>4</x:v>
      </x:c>
      <x:c r="M86" s="2" t="n">
        <x:v>1</x:v>
      </x:c>
      <x:c r="N86" s="2" t="str">
        <x:v>task_complete</x:v>
      </x:c>
    </x:row>
    <x:row r="87" ht="23" customHeight="1">
      <x:c r="A87" s="2" t="str">
        <x:v>S013</x:v>
      </x:c>
      <x:c r="B87" s="2" t="str">
        <x:v>no_rules</x:v>
      </x:c>
      <x:c r="C87" s="2" t="str">
        <x:v>synthesis</x:v>
      </x:c>
      <x:c r="D87" s="2" t="str">
        <x:v>zh</x:v>
      </x:c>
      <x:c r="E87" s="2" t="n">
        <x:v>1</x:v>
      </x:c>
      <x:c r="F87" s="2" t="n">
        <x:v>1</x:v>
      </x:c>
      <x:c r="G87" s="7" t="n">
        <x:v>32.60869450000246</x:v>
      </x:c>
      <x:c r="H87" s="2" t="n">
        <x:v>10289</x:v>
      </x:c>
      <x:c r="I87" s="2" t="n">
        <x:v>613</x:v>
      </x:c>
      <x:c r="J87" s="2" t="n">
        <x:v>0</x:v>
      </x:c>
      <x:c r="K87" s="2" t="n">
        <x:f>IF(J87&gt;0,"未知",SUM(H87:I87))</x:f>
        <x:v>10902</x:v>
      </x:c>
      <x:c r="L87" s="2" t="n">
        <x:v>4</x:v>
      </x:c>
      <x:c r="M87" s="2" t="n">
        <x:v>1</x:v>
      </x:c>
      <x:c r="N87" s="2" t="str">
        <x:v>task_complete</x:v>
      </x:c>
    </x:row>
    <x:row r="88" ht="23" customHeight="1">
      <x:c r="A88" s="2" t="str">
        <x:v>S014</x:v>
      </x:c>
      <x:c r="B88" s="2" t="str">
        <x:v>no_rules</x:v>
      </x:c>
      <x:c r="C88" s="2" t="str">
        <x:v>synthesis</x:v>
      </x:c>
      <x:c r="D88" s="2" t="str">
        <x:v>en</x:v>
      </x:c>
      <x:c r="E88" s="2" t="n">
        <x:v>1</x:v>
      </x:c>
      <x:c r="F88" s="2" t="n">
        <x:v>1</x:v>
      </x:c>
      <x:c r="G88" s="7" t="n">
        <x:v>35.87377180000112</x:v>
      </x:c>
      <x:c r="H88" s="2" t="n">
        <x:v>10923</x:v>
      </x:c>
      <x:c r="I88" s="2" t="n">
        <x:v>711</x:v>
      </x:c>
      <x:c r="J88" s="2" t="n">
        <x:v>0</x:v>
      </x:c>
      <x:c r="K88" s="2" t="n">
        <x:f>IF(J88&gt;0,"未知",SUM(H88:I88))</x:f>
        <x:v>11634</x:v>
      </x:c>
      <x:c r="L88" s="2" t="n">
        <x:v>4</x:v>
      </x:c>
      <x:c r="M88" s="2" t="n">
        <x:v>1</x:v>
      </x:c>
      <x:c r="N88" s="2" t="str">
        <x:v>task_complete</x:v>
      </x:c>
    </x:row>
    <x:row r="89" ht="23" customHeight="1">
      <x:c r="A89" s="2" t="str">
        <x:v>S014</x:v>
      </x:c>
      <x:c r="B89" s="2" t="str">
        <x:v>default</x:v>
      </x:c>
      <x:c r="C89" s="2" t="str">
        <x:v>synthesis</x:v>
      </x:c>
      <x:c r="D89" s="2" t="str">
        <x:v>en</x:v>
      </x:c>
      <x:c r="E89" s="2" t="n">
        <x:v>1</x:v>
      </x:c>
      <x:c r="F89" s="2" t="n">
        <x:v>1</x:v>
      </x:c>
      <x:c r="G89" s="7" t="n">
        <x:v>36.58600060000026</x:v>
      </x:c>
      <x:c r="H89" s="2" t="n">
        <x:v>10953</x:v>
      </x:c>
      <x:c r="I89" s="2" t="n">
        <x:v>772</x:v>
      </x:c>
      <x:c r="J89" s="2" t="n">
        <x:v>0</x:v>
      </x:c>
      <x:c r="K89" s="2" t="n">
        <x:f>IF(J89&gt;0,"未知",SUM(H89:I89))</x:f>
        <x:v>11725</x:v>
      </x:c>
      <x:c r="L89" s="2" t="n">
        <x:v>4</x:v>
      </x:c>
      <x:c r="M89" s="2" t="n">
        <x:v>1</x:v>
      </x:c>
      <x:c r="N89" s="2" t="str">
        <x:v>task_complete</x:v>
      </x:c>
    </x:row>
    <x:row r="90" ht="23" customHeight="1">
      <x:c r="A90" s="2" t="str">
        <x:v>S015</x:v>
      </x:c>
      <x:c r="B90" s="2" t="str">
        <x:v>default</x:v>
      </x:c>
      <x:c r="C90" s="2" t="str">
        <x:v>synthesis</x:v>
      </x:c>
      <x:c r="D90" s="2" t="str">
        <x:v>zh</x:v>
      </x:c>
      <x:c r="E90" s="2" t="n">
        <x:v>0</x:v>
      </x:c>
      <x:c r="F90" s="2" t="n">
        <x:v>1</x:v>
      </x:c>
      <x:c r="G90" s="7" t="n">
        <x:v>6.592008799998439</x:v>
      </x:c>
      <x:c r="H90" s="2" t="n">
        <x:v>3966</x:v>
      </x:c>
      <x:c r="I90" s="2" t="n">
        <x:v>90</x:v>
      </x:c>
      <x:c r="J90" s="2" t="n">
        <x:v>0</x:v>
      </x:c>
      <x:c r="K90" s="2" t="n">
        <x:f>IF(J90&gt;0,"未知",SUM(H90:I90))</x:f>
        <x:v>4056</x:v>
      </x:c>
      <x:c r="L90" s="2" t="n">
        <x:v>2</x:v>
      </x:c>
      <x:c r="M90" s="2" t="n">
        <x:v>0</x:v>
      </x:c>
      <x:c r="N90" s="2" t="str">
        <x:v>error</x:v>
      </x:c>
    </x:row>
    <x:row r="91" ht="23" customHeight="1">
      <x:c r="A91" s="2" t="str">
        <x:v>S015</x:v>
      </x:c>
      <x:c r="B91" s="2" t="str">
        <x:v>no_rules</x:v>
      </x:c>
      <x:c r="C91" s="2" t="str">
        <x:v>synthesis</x:v>
      </x:c>
      <x:c r="D91" s="2" t="str">
        <x:v>zh</x:v>
      </x:c>
      <x:c r="E91" s="2" t="n">
        <x:v>1</x:v>
      </x:c>
      <x:c r="F91" s="2" t="n">
        <x:v>1</x:v>
      </x:c>
      <x:c r="G91" s="7" t="n">
        <x:v>27.49769639999795</x:v>
      </x:c>
      <x:c r="H91" s="2" t="n">
        <x:v>9956</x:v>
      </x:c>
      <x:c r="I91" s="2" t="n">
        <x:v>327</x:v>
      </x:c>
      <x:c r="J91" s="2" t="n">
        <x:v>0</x:v>
      </x:c>
      <x:c r="K91" s="2" t="n">
        <x:f>IF(J91&gt;0,"未知",SUM(H91:I91))</x:f>
        <x:v>10283</x:v>
      </x:c>
      <x:c r="L91" s="2" t="n">
        <x:v>4</x:v>
      </x:c>
      <x:c r="M91" s="2" t="n">
        <x:v>0</x:v>
      </x:c>
      <x:c r="N91" s="2" t="str">
        <x:v>incomplete</x:v>
      </x:c>
    </x:row>
    <x:row r="92" ht="23" customHeight="1">
      <x:c r="A92" s="2" t="str">
        <x:v>R001</x:v>
      </x:c>
      <x:c r="B92" s="2" t="str">
        <x:v>no_rules</x:v>
      </x:c>
      <x:c r="C92" s="2" t="str">
        <x:v>reasoning</x:v>
      </x:c>
      <x:c r="D92" s="2" t="str">
        <x:v>en</x:v>
      </x:c>
      <x:c r="E92" s="2" t="n">
        <x:v>1</x:v>
      </x:c>
      <x:c r="F92" s="2" t="n">
        <x:v>1</x:v>
      </x:c>
      <x:c r="G92" s="7" t="n">
        <x:v>31.499663300000975</x:v>
      </x:c>
      <x:c r="H92" s="2" t="n">
        <x:v>9751</x:v>
      </x:c>
      <x:c r="I92" s="2" t="n">
        <x:v>608</x:v>
      </x:c>
      <x:c r="J92" s="2" t="n">
        <x:v>0</x:v>
      </x:c>
      <x:c r="K92" s="2" t="n">
        <x:f>IF(J92&gt;0,"未知",SUM(H92:I92))</x:f>
        <x:v>10359</x:v>
      </x:c>
      <x:c r="L92" s="2" t="n">
        <x:v>4</x:v>
      </x:c>
      <x:c r="M92" s="2" t="n">
        <x:v>1</x:v>
      </x:c>
      <x:c r="N92" s="2" t="str">
        <x:v>task_complete</x:v>
      </x:c>
    </x:row>
    <x:row r="93" ht="23" customHeight="1">
      <x:c r="A93" s="2" t="str">
        <x:v>R001</x:v>
      </x:c>
      <x:c r="B93" s="2" t="str">
        <x:v>default</x:v>
      </x:c>
      <x:c r="C93" s="2" t="str">
        <x:v>reasoning</x:v>
      </x:c>
      <x:c r="D93" s="2" t="str">
        <x:v>en</x:v>
      </x:c>
      <x:c r="E93" s="2" t="n">
        <x:v>1</x:v>
      </x:c>
      <x:c r="F93" s="2" t="n">
        <x:v>1</x:v>
      </x:c>
      <x:c r="G93" s="7" t="n">
        <x:v>33.58752470000036</x:v>
      </x:c>
      <x:c r="H93" s="2" t="n">
        <x:v>9814</x:v>
      </x:c>
      <x:c r="I93" s="2" t="n">
        <x:v>692</x:v>
      </x:c>
      <x:c r="J93" s="2" t="n">
        <x:v>0</x:v>
      </x:c>
      <x:c r="K93" s="2" t="n">
        <x:f>IF(J93&gt;0,"未知",SUM(H93:I93))</x:f>
        <x:v>10506</x:v>
      </x:c>
      <x:c r="L93" s="2" t="n">
        <x:v>4</x:v>
      </x:c>
      <x:c r="M93" s="2" t="n">
        <x:v>1</x:v>
      </x:c>
      <x:c r="N93" s="2" t="str">
        <x:v>task_complete</x:v>
      </x:c>
    </x:row>
    <x:row r="94" ht="23" customHeight="1">
      <x:c r="A94" s="2" t="str">
        <x:v>R002</x:v>
      </x:c>
      <x:c r="B94" s="2" t="str">
        <x:v>default</x:v>
      </x:c>
      <x:c r="C94" s="2" t="str">
        <x:v>reasoning</x:v>
      </x:c>
      <x:c r="D94" s="2" t="str">
        <x:v>zh</x:v>
      </x:c>
      <x:c r="E94" s="2" t="n">
        <x:v>1</x:v>
      </x:c>
      <x:c r="F94" s="2" t="n">
        <x:v>1</x:v>
      </x:c>
      <x:c r="G94" s="7" t="n">
        <x:v>12.293752699999459</x:v>
      </x:c>
      <x:c r="H94" s="2" t="n">
        <x:v>3968</x:v>
      </x:c>
      <x:c r="I94" s="2" t="n">
        <x:v>94</x:v>
      </x:c>
      <x:c r="J94" s="2" t="n">
        <x:v>0</x:v>
      </x:c>
      <x:c r="K94" s="2" t="n">
        <x:f>IF(J94&gt;0,"未知",SUM(H94:I94))</x:f>
        <x:v>4062</x:v>
      </x:c>
      <x:c r="L94" s="2" t="n">
        <x:v>2</x:v>
      </x:c>
      <x:c r="M94" s="2" t="n">
        <x:v>0</x:v>
      </x:c>
      <x:c r="N94" s="2" t="str">
        <x:v>incomplete</x:v>
      </x:c>
    </x:row>
    <x:row r="95" ht="23" customHeight="1">
      <x:c r="A95" s="2" t="str">
        <x:v>R002</x:v>
      </x:c>
      <x:c r="B95" s="2" t="str">
        <x:v>no_rules</x:v>
      </x:c>
      <x:c r="C95" s="2" t="str">
        <x:v>reasoning</x:v>
      </x:c>
      <x:c r="D95" s="2" t="str">
        <x:v>zh</x:v>
      </x:c>
      <x:c r="E95" s="2" t="n">
        <x:v>1</x:v>
      </x:c>
      <x:c r="F95" s="2" t="n">
        <x:v>1</x:v>
      </x:c>
      <x:c r="G95" s="7" t="n">
        <x:v>13.127827699998306</x:v>
      </x:c>
      <x:c r="H95" s="2" t="n">
        <x:v>3968</x:v>
      </x:c>
      <x:c r="I95" s="2" t="n">
        <x:v>95</x:v>
      </x:c>
      <x:c r="J95" s="2" t="n">
        <x:v>0</x:v>
      </x:c>
      <x:c r="K95" s="2" t="n">
        <x:f>IF(J95&gt;0,"未知",SUM(H95:I95))</x:f>
        <x:v>4063</x:v>
      </x:c>
      <x:c r="L95" s="2" t="n">
        <x:v>2</x:v>
      </x:c>
      <x:c r="M95" s="2" t="n">
        <x:v>0</x:v>
      </x:c>
      <x:c r="N95" s="2" t="str">
        <x:v>incomplete</x:v>
      </x:c>
    </x:row>
    <x:row r="96" ht="23" customHeight="1">
      <x:c r="A96" s="2" t="str">
        <x:v>R003</x:v>
      </x:c>
      <x:c r="B96" s="2" t="str">
        <x:v>no_rules</x:v>
      </x:c>
      <x:c r="C96" s="2" t="str">
        <x:v>reasoning</x:v>
      </x:c>
      <x:c r="D96" s="2" t="str">
        <x:v>en</x:v>
      </x:c>
      <x:c r="E96" s="2" t="n">
        <x:v>1</x:v>
      </x:c>
      <x:c r="F96" s="2" t="n">
        <x:v>1</x:v>
      </x:c>
      <x:c r="G96" s="7" t="n">
        <x:v>24.077892400000565</x:v>
      </x:c>
      <x:c r="H96" s="2" t="n">
        <x:v>8983</x:v>
      </x:c>
      <x:c r="I96" s="2" t="n">
        <x:v>322</x:v>
      </x:c>
      <x:c r="J96" s="2" t="n">
        <x:v>0</x:v>
      </x:c>
      <x:c r="K96" s="2" t="n">
        <x:f>IF(J96&gt;0,"未知",SUM(H96:I96))</x:f>
        <x:v>9305</x:v>
      </x:c>
      <x:c r="L96" s="2" t="n">
        <x:v>4</x:v>
      </x:c>
      <x:c r="M96" s="2" t="n">
        <x:v>1</x:v>
      </x:c>
      <x:c r="N96" s="2" t="str">
        <x:v>task_complete</x:v>
      </x:c>
    </x:row>
    <x:row r="97" ht="23" customHeight="1">
      <x:c r="A97" s="2" t="str">
        <x:v>R003</x:v>
      </x:c>
      <x:c r="B97" s="2" t="str">
        <x:v>default</x:v>
      </x:c>
      <x:c r="C97" s="2" t="str">
        <x:v>reasoning</x:v>
      </x:c>
      <x:c r="D97" s="2" t="str">
        <x:v>en</x:v>
      </x:c>
      <x:c r="E97" s="2" t="n">
        <x:v>1</x:v>
      </x:c>
      <x:c r="F97" s="2" t="n">
        <x:v>1</x:v>
      </x:c>
      <x:c r="G97" s="7" t="n">
        <x:v>23.21315489999688</x:v>
      </x:c>
      <x:c r="H97" s="2" t="n">
        <x:v>9027</x:v>
      </x:c>
      <x:c r="I97" s="2" t="n">
        <x:v>374</x:v>
      </x:c>
      <x:c r="J97" s="2" t="n">
        <x:v>0</x:v>
      </x:c>
      <x:c r="K97" s="2" t="n">
        <x:f>IF(J97&gt;0,"未知",SUM(H97:I97))</x:f>
        <x:v>9401</x:v>
      </x:c>
      <x:c r="L97" s="2" t="n">
        <x:v>4</x:v>
      </x:c>
      <x:c r="M97" s="2" t="n">
        <x:v>1</x:v>
      </x:c>
      <x:c r="N97" s="2" t="str">
        <x:v>task_complete</x:v>
      </x:c>
    </x:row>
    <x:row r="98" ht="23" customHeight="1">
      <x:c r="A98" s="2" t="str">
        <x:v>R004</x:v>
      </x:c>
      <x:c r="B98" s="2" t="str">
        <x:v>default</x:v>
      </x:c>
      <x:c r="C98" s="2" t="str">
        <x:v>reasoning</x:v>
      </x:c>
      <x:c r="D98" s="2" t="str">
        <x:v>zh</x:v>
      </x:c>
      <x:c r="E98" s="2" t="n">
        <x:v>1</x:v>
      </x:c>
      <x:c r="F98" s="2" t="n">
        <x:v>1</x:v>
      </x:c>
      <x:c r="G98" s="7" t="n">
        <x:v>31.93640830000004</x:v>
      </x:c>
      <x:c r="H98" s="2" t="n">
        <x:v>10072</x:v>
      </x:c>
      <x:c r="I98" s="2" t="n">
        <x:v>593</x:v>
      </x:c>
      <x:c r="J98" s="2" t="n">
        <x:v>0</x:v>
      </x:c>
      <x:c r="K98" s="2" t="n">
        <x:f>IF(J98&gt;0,"未知",SUM(H98:I98))</x:f>
        <x:v>10665</x:v>
      </x:c>
      <x:c r="L98" s="2" t="n">
        <x:v>4</x:v>
      </x:c>
      <x:c r="M98" s="2" t="n">
        <x:v>1</x:v>
      </x:c>
      <x:c r="N98" s="2" t="str">
        <x:v>task_complete</x:v>
      </x:c>
    </x:row>
    <x:row r="99" ht="23" customHeight="1">
      <x:c r="A99" s="2" t="str">
        <x:v>R004</x:v>
      </x:c>
      <x:c r="B99" s="2" t="str">
        <x:v>no_rules</x:v>
      </x:c>
      <x:c r="C99" s="2" t="str">
        <x:v>reasoning</x:v>
      </x:c>
      <x:c r="D99" s="2" t="str">
        <x:v>zh</x:v>
      </x:c>
      <x:c r="E99" s="2" t="n">
        <x:v>1</x:v>
      </x:c>
      <x:c r="F99" s="2" t="n">
        <x:v>1</x:v>
      </x:c>
      <x:c r="G99" s="7" t="n">
        <x:v>31.603538300001674</x:v>
      </x:c>
      <x:c r="H99" s="2" t="n">
        <x:v>10258</x:v>
      </x:c>
      <x:c r="I99" s="2" t="n">
        <x:v>607</x:v>
      </x:c>
      <x:c r="J99" s="2" t="n">
        <x:v>0</x:v>
      </x:c>
      <x:c r="K99" s="2" t="n">
        <x:f>IF(J99&gt;0,"未知",SUM(H99:I99))</x:f>
        <x:v>10865</x:v>
      </x:c>
      <x:c r="L99" s="2" t="n">
        <x:v>4</x:v>
      </x:c>
      <x:c r="M99" s="2" t="n">
        <x:v>1</x:v>
      </x:c>
      <x:c r="N99" s="2" t="str">
        <x:v>task_complete</x:v>
      </x:c>
    </x:row>
    <x:row r="100" ht="23" customHeight="1">
      <x:c r="A100" s="2" t="str">
        <x:v>R005</x:v>
      </x:c>
      <x:c r="B100" s="2" t="str">
        <x:v>no_rules</x:v>
      </x:c>
      <x:c r="C100" s="2" t="str">
        <x:v>reasoning</x:v>
      </x:c>
      <x:c r="D100" s="2" t="str">
        <x:v>en</x:v>
      </x:c>
      <x:c r="E100" s="2" t="n">
        <x:v>1</x:v>
      </x:c>
      <x:c r="F100" s="2" t="n">
        <x:v>1</x:v>
      </x:c>
      <x:c r="G100" s="7" t="n">
        <x:v>24.77303860000029</x:v>
      </x:c>
      <x:c r="H100" s="2" t="n">
        <x:v>9401</x:v>
      </x:c>
      <x:c r="I100" s="2" t="n">
        <x:v>383</x:v>
      </x:c>
      <x:c r="J100" s="2" t="n">
        <x:v>0</x:v>
      </x:c>
      <x:c r="K100" s="2" t="n">
        <x:f>IF(J100&gt;0,"未知",SUM(H100:I100))</x:f>
        <x:v>9784</x:v>
      </x:c>
      <x:c r="L100" s="2" t="n">
        <x:v>4</x:v>
      </x:c>
      <x:c r="M100" s="2" t="n">
        <x:v>1</x:v>
      </x:c>
      <x:c r="N100" s="2" t="str">
        <x:v>task_complete</x:v>
      </x:c>
    </x:row>
    <x:row r="101" ht="23" customHeight="1">
      <x:c r="A101" s="2" t="str">
        <x:v>R005</x:v>
      </x:c>
      <x:c r="B101" s="2" t="str">
        <x:v>default</x:v>
      </x:c>
      <x:c r="C101" s="2" t="str">
        <x:v>reasoning</x:v>
      </x:c>
      <x:c r="D101" s="2" t="str">
        <x:v>en</x:v>
      </x:c>
      <x:c r="E101" s="2" t="n">
        <x:v>1</x:v>
      </x:c>
      <x:c r="F101" s="2" t="n">
        <x:v>1</x:v>
      </x:c>
      <x:c r="G101" s="7" t="n">
        <x:v>23.936532100000477</x:v>
      </x:c>
      <x:c r="H101" s="2" t="n">
        <x:v>9403</x:v>
      </x:c>
      <x:c r="I101" s="2" t="n">
        <x:v>367</x:v>
      </x:c>
      <x:c r="J101" s="2" t="n">
        <x:v>0</x:v>
      </x:c>
      <x:c r="K101" s="2" t="n">
        <x:f>IF(J101&gt;0,"未知",SUM(H101:I101))</x:f>
        <x:v>9770</x:v>
      </x:c>
      <x:c r="L101" s="2" t="n">
        <x:v>4</x:v>
      </x:c>
      <x:c r="M101" s="2" t="n">
        <x:v>1</x:v>
      </x:c>
      <x:c r="N101" s="2" t="str">
        <x:v>task_complete</x:v>
      </x:c>
    </x:row>
    <x:row r="102" ht="23" customHeight="1">
      <x:c r="A102" s="2" t="str">
        <x:v>R006</x:v>
      </x:c>
      <x:c r="B102" s="2" t="str">
        <x:v>default</x:v>
      </x:c>
      <x:c r="C102" s="2" t="str">
        <x:v>reasoning</x:v>
      </x:c>
      <x:c r="D102" s="2" t="str">
        <x:v>zh</x:v>
      </x:c>
      <x:c r="E102" s="2" t="n">
        <x:v>1</x:v>
      </x:c>
      <x:c r="F102" s="2" t="n">
        <x:v>1</x:v>
      </x:c>
      <x:c r="G102" s="7" t="n">
        <x:v>23.766386299997976</x:v>
      </x:c>
      <x:c r="H102" s="2" t="n">
        <x:v>8902</x:v>
      </x:c>
      <x:c r="I102" s="2" t="n">
        <x:v>361</x:v>
      </x:c>
      <x:c r="J102" s="2" t="n">
        <x:v>0</x:v>
      </x:c>
      <x:c r="K102" s="2" t="n">
        <x:f>IF(J102&gt;0,"未知",SUM(H102:I102))</x:f>
        <x:v>9263</x:v>
      </x:c>
      <x:c r="L102" s="2" t="n">
        <x:v>4</x:v>
      </x:c>
      <x:c r="M102" s="2" t="n">
        <x:v>1</x:v>
      </x:c>
      <x:c r="N102" s="2" t="str">
        <x:v>task_complete</x:v>
      </x:c>
    </x:row>
    <x:row r="103" ht="23" customHeight="1">
      <x:c r="A103" s="2" t="str">
        <x:v>R006</x:v>
      </x:c>
      <x:c r="B103" s="2" t="str">
        <x:v>no_rules</x:v>
      </x:c>
      <x:c r="C103" s="2" t="str">
        <x:v>reasoning</x:v>
      </x:c>
      <x:c r="D103" s="2" t="str">
        <x:v>zh</x:v>
      </x:c>
      <x:c r="E103" s="2" t="n">
        <x:v>1</x:v>
      </x:c>
      <x:c r="F103" s="2" t="n">
        <x:v>1</x:v>
      </x:c>
      <x:c r="G103" s="7" t="n">
        <x:v>23.098040400000173</x:v>
      </x:c>
      <x:c r="H103" s="2" t="n">
        <x:v>8898</x:v>
      </x:c>
      <x:c r="I103" s="2" t="n">
        <x:v>360</x:v>
      </x:c>
      <x:c r="J103" s="2" t="n">
        <x:v>0</x:v>
      </x:c>
      <x:c r="K103" s="2" t="n">
        <x:f>IF(J103&gt;0,"未知",SUM(H103:I103))</x:f>
        <x:v>9258</x:v>
      </x:c>
      <x:c r="L103" s="2" t="n">
        <x:v>4</x:v>
      </x:c>
      <x:c r="M103" s="2" t="n">
        <x:v>1</x:v>
      </x:c>
      <x:c r="N103" s="2" t="str">
        <x:v>task_complete</x:v>
      </x:c>
    </x:row>
    <x:row r="104" ht="23" customHeight="1">
      <x:c r="A104" s="2" t="str">
        <x:v>R007</x:v>
      </x:c>
      <x:c r="B104" s="2" t="str">
        <x:v>no_rules</x:v>
      </x:c>
      <x:c r="C104" s="2" t="str">
        <x:v>reasoning</x:v>
      </x:c>
      <x:c r="D104" s="2" t="str">
        <x:v>en</x:v>
      </x:c>
      <x:c r="E104" s="2" t="n">
        <x:v>1</x:v>
      </x:c>
      <x:c r="F104" s="2" t="n">
        <x:v>2</x:v>
      </x:c>
      <x:c r="G104" s="7" t="n">
        <x:v>31.564585799998895</x:v>
      </x:c>
      <x:c r="H104" s="2" t="n">
        <x:v>16015</x:v>
      </x:c>
      <x:c r="I104" s="2" t="n">
        <x:v>468</x:v>
      </x:c>
      <x:c r="J104" s="2" t="n">
        <x:v>0</x:v>
      </x:c>
      <x:c r="K104" s="2" t="n">
        <x:f>IF(J104&gt;0,"未知",SUM(H104:I104))</x:f>
        <x:v>16483</x:v>
      </x:c>
      <x:c r="L104" s="2" t="n">
        <x:v>6</x:v>
      </x:c>
      <x:c r="M104" s="2" t="n">
        <x:v>1</x:v>
      </x:c>
      <x:c r="N104" s="2" t="str">
        <x:v>task_complete</x:v>
      </x:c>
    </x:row>
    <x:row r="105" ht="23" customHeight="1">
      <x:c r="A105" s="2" t="str">
        <x:v>R007</x:v>
      </x:c>
      <x:c r="B105" s="2" t="str">
        <x:v>default</x:v>
      </x:c>
      <x:c r="C105" s="2" t="str">
        <x:v>reasoning</x:v>
      </x:c>
      <x:c r="D105" s="2" t="str">
        <x:v>en</x:v>
      </x:c>
      <x:c r="E105" s="2" t="n">
        <x:v>1</x:v>
      </x:c>
      <x:c r="F105" s="2" t="n">
        <x:v>1</x:v>
      </x:c>
      <x:c r="G105" s="7" t="n">
        <x:v>23.646870699998544</x:v>
      </x:c>
      <x:c r="H105" s="2" t="n">
        <x:v>8952</x:v>
      </x:c>
      <x:c r="I105" s="2" t="n">
        <x:v>397</x:v>
      </x:c>
      <x:c r="J105" s="2" t="n">
        <x:v>0</x:v>
      </x:c>
      <x:c r="K105" s="2" t="n">
        <x:f>IF(J105&gt;0,"未知",SUM(H105:I105))</x:f>
        <x:v>9349</x:v>
      </x:c>
      <x:c r="L105" s="2" t="n">
        <x:v>4</x:v>
      </x:c>
      <x:c r="M105" s="2" t="n">
        <x:v>1</x:v>
      </x:c>
      <x:c r="N105" s="2" t="str">
        <x:v>task_complete</x:v>
      </x:c>
    </x:row>
    <x:row r="106" ht="23" customHeight="1">
      <x:c r="A106" s="2" t="str">
        <x:v>R008</x:v>
      </x:c>
      <x:c r="B106" s="2" t="str">
        <x:v>default</x:v>
      </x:c>
      <x:c r="C106" s="2" t="str">
        <x:v>reasoning</x:v>
      </x:c>
      <x:c r="D106" s="2" t="str">
        <x:v>zh</x:v>
      </x:c>
      <x:c r="E106" s="2" t="n">
        <x:v>1</x:v>
      </x:c>
      <x:c r="F106" s="2" t="n">
        <x:v>2</x:v>
      </x:c>
      <x:c r="G106" s="7" t="n">
        <x:v>32.081419000001915</x:v>
      </x:c>
      <x:c r="H106" s="2" t="n">
        <x:v>17159</x:v>
      </x:c>
      <x:c r="I106" s="2" t="n">
        <x:v>449</x:v>
      </x:c>
      <x:c r="J106" s="2" t="n">
        <x:v>0</x:v>
      </x:c>
      <x:c r="K106" s="2" t="n">
        <x:f>IF(J106&gt;0,"未知",SUM(H106:I106))</x:f>
        <x:v>17608</x:v>
      </x:c>
      <x:c r="L106" s="2" t="n">
        <x:v>6</x:v>
      </x:c>
      <x:c r="M106" s="2" t="n">
        <x:v>1</x:v>
      </x:c>
      <x:c r="N106" s="2" t="str">
        <x:v>task_complete</x:v>
      </x:c>
    </x:row>
    <x:row r="107" ht="23" customHeight="1">
      <x:c r="A107" s="2" t="str">
        <x:v>R008</x:v>
      </x:c>
      <x:c r="B107" s="2" t="str">
        <x:v>no_rules</x:v>
      </x:c>
      <x:c r="C107" s="2" t="str">
        <x:v>reasoning</x:v>
      </x:c>
      <x:c r="D107" s="2" t="str">
        <x:v>zh</x:v>
      </x:c>
      <x:c r="E107" s="2" t="n">
        <x:v>1</x:v>
      </x:c>
      <x:c r="F107" s="2" t="n">
        <x:v>1</x:v>
      </x:c>
      <x:c r="G107" s="7" t="n">
        <x:v>23.27042419999998</x:v>
      </x:c>
      <x:c r="H107" s="2" t="n">
        <x:v>9375</x:v>
      </x:c>
      <x:c r="I107" s="2" t="n">
        <x:v>387</x:v>
      </x:c>
      <x:c r="J107" s="2" t="n">
        <x:v>0</x:v>
      </x:c>
      <x:c r="K107" s="2" t="n">
        <x:f>IF(J107&gt;0,"未知",SUM(H107:I107))</x:f>
        <x:v>9762</x:v>
      </x:c>
      <x:c r="L107" s="2" t="n">
        <x:v>4</x:v>
      </x:c>
      <x:c r="M107" s="2" t="n">
        <x:v>1</x:v>
      </x:c>
      <x:c r="N107" s="2" t="str">
        <x:v>task_complete</x:v>
      </x:c>
    </x:row>
    <x:row r="108" ht="23" customHeight="1">
      <x:c r="A108" s="2" t="str">
        <x:v>R009</x:v>
      </x:c>
      <x:c r="B108" s="2" t="str">
        <x:v>no_rules</x:v>
      </x:c>
      <x:c r="C108" s="2" t="str">
        <x:v>reasoning</x:v>
      </x:c>
      <x:c r="D108" s="2" t="str">
        <x:v>en</x:v>
      </x:c>
      <x:c r="E108" s="2" t="n">
        <x:v>1</x:v>
      </x:c>
      <x:c r="F108" s="2" t="n">
        <x:v>1</x:v>
      </x:c>
      <x:c r="G108" s="7" t="n">
        <x:v>24.078008599997702</x:v>
      </x:c>
      <x:c r="H108" s="2" t="n">
        <x:v>8939</x:v>
      </x:c>
      <x:c r="I108" s="2" t="n">
        <x:v>404</x:v>
      </x:c>
      <x:c r="J108" s="2" t="n">
        <x:v>0</x:v>
      </x:c>
      <x:c r="K108" s="2" t="n">
        <x:f>IF(J108&gt;0,"未知",SUM(H108:I108))</x:f>
        <x:v>9343</x:v>
      </x:c>
      <x:c r="L108" s="2" t="n">
        <x:v>4</x:v>
      </x:c>
      <x:c r="M108" s="2" t="n">
        <x:v>1</x:v>
      </x:c>
      <x:c r="N108" s="2" t="str">
        <x:v>task_complete</x:v>
      </x:c>
    </x:row>
    <x:row r="109" ht="23" customHeight="1">
      <x:c r="A109" s="2" t="str">
        <x:v>R009</x:v>
      </x:c>
      <x:c r="B109" s="2" t="str">
        <x:v>default</x:v>
      </x:c>
      <x:c r="C109" s="2" t="str">
        <x:v>reasoning</x:v>
      </x:c>
      <x:c r="D109" s="2" t="str">
        <x:v>en</x:v>
      </x:c>
      <x:c r="E109" s="2" t="n">
        <x:v>1</x:v>
      </x:c>
      <x:c r="F109" s="2" t="n">
        <x:v>1</x:v>
      </x:c>
      <x:c r="G109" s="7" t="n">
        <x:v>23.51700340000025</x:v>
      </x:c>
      <x:c r="H109" s="2" t="n">
        <x:v>8947</x:v>
      </x:c>
      <x:c r="I109" s="2" t="n">
        <x:v>414</x:v>
      </x:c>
      <x:c r="J109" s="2" t="n">
        <x:v>0</x:v>
      </x:c>
      <x:c r="K109" s="2" t="n">
        <x:f>IF(J109&gt;0,"未知",SUM(H109:I109))</x:f>
        <x:v>9361</x:v>
      </x:c>
      <x:c r="L109" s="2" t="n">
        <x:v>4</x:v>
      </x:c>
      <x:c r="M109" s="2" t="n">
        <x:v>1</x:v>
      </x:c>
      <x:c r="N109" s="2" t="str">
        <x:v>task_complete</x:v>
      </x:c>
    </x:row>
    <x:row r="110" ht="23" customHeight="1">
      <x:c r="A110" s="2" t="str">
        <x:v>R010</x:v>
      </x:c>
      <x:c r="B110" s="2" t="str">
        <x:v>default</x:v>
      </x:c>
      <x:c r="C110" s="2" t="str">
        <x:v>reasoning</x:v>
      </x:c>
      <x:c r="D110" s="2" t="str">
        <x:v>zh</x:v>
      </x:c>
      <x:c r="E110" s="2" t="n">
        <x:v>1</x:v>
      </x:c>
      <x:c r="F110" s="2" t="n">
        <x:v>1</x:v>
      </x:c>
      <x:c r="G110" s="7" t="n">
        <x:v>26.17412289999993</x:v>
      </x:c>
      <x:c r="H110" s="2" t="n">
        <x:v>10015</x:v>
      </x:c>
      <x:c r="I110" s="2" t="n">
        <x:v>389</x:v>
      </x:c>
      <x:c r="J110" s="2" t="n">
        <x:v>0</x:v>
      </x:c>
      <x:c r="K110" s="2" t="n">
        <x:f>IF(J110&gt;0,"未知",SUM(H110:I110))</x:f>
        <x:v>10404</x:v>
      </x:c>
      <x:c r="L110" s="2" t="n">
        <x:v>4</x:v>
      </x:c>
      <x:c r="M110" s="2" t="n">
        <x:v>1</x:v>
      </x:c>
      <x:c r="N110" s="2" t="str">
        <x:v>task_complete</x:v>
      </x:c>
    </x:row>
    <x:row r="111" ht="23" customHeight="1">
      <x:c r="A111" s="2" t="str">
        <x:v>R010</x:v>
      </x:c>
      <x:c r="B111" s="2" t="str">
        <x:v>no_rules</x:v>
      </x:c>
      <x:c r="C111" s="2" t="str">
        <x:v>reasoning</x:v>
      </x:c>
      <x:c r="D111" s="2" t="str">
        <x:v>zh</x:v>
      </x:c>
      <x:c r="E111" s="2" t="n">
        <x:v>1</x:v>
      </x:c>
      <x:c r="F111" s="2" t="n">
        <x:v>1</x:v>
      </x:c>
      <x:c r="G111" s="7" t="n">
        <x:v>26.653939099996933</x:v>
      </x:c>
      <x:c r="H111" s="2" t="n">
        <x:v>10021</x:v>
      </x:c>
      <x:c r="I111" s="2" t="n">
        <x:v>424</x:v>
      </x:c>
      <x:c r="J111" s="2" t="n">
        <x:v>0</x:v>
      </x:c>
      <x:c r="K111" s="2" t="n">
        <x:f>IF(J111&gt;0,"未知",SUM(H111:I111))</x:f>
        <x:v>10445</x:v>
      </x:c>
      <x:c r="L111" s="2" t="n">
        <x:v>4</x:v>
      </x:c>
      <x:c r="M111" s="2" t="n">
        <x:v>1</x:v>
      </x:c>
      <x:c r="N111" s="2" t="str">
        <x:v>task_complete</x:v>
      </x:c>
    </x:row>
    <x:row r="112" ht="23" customHeight="1">
      <x:c r="A112" s="2" t="str">
        <x:v>R011</x:v>
      </x:c>
      <x:c r="B112" s="2" t="str">
        <x:v>no_rules</x:v>
      </x:c>
      <x:c r="C112" s="2" t="str">
        <x:v>reasoning</x:v>
      </x:c>
      <x:c r="D112" s="2" t="str">
        <x:v>en</x:v>
      </x:c>
      <x:c r="E112" s="2" t="n">
        <x:v>1</x:v>
      </x:c>
      <x:c r="F112" s="2" t="n">
        <x:v>1</x:v>
      </x:c>
      <x:c r="G112" s="7" t="n">
        <x:v>36.88747820000208</x:v>
      </x:c>
      <x:c r="H112" s="2" t="n">
        <x:v>10417</x:v>
      </x:c>
      <x:c r="I112" s="2" t="n">
        <x:v>797</x:v>
      </x:c>
      <x:c r="J112" s="2" t="n">
        <x:v>0</x:v>
      </x:c>
      <x:c r="K112" s="2" t="n">
        <x:f>IF(J112&gt;0,"未知",SUM(H112:I112))</x:f>
        <x:v>11214</x:v>
      </x:c>
      <x:c r="L112" s="2" t="n">
        <x:v>4</x:v>
      </x:c>
      <x:c r="M112" s="2" t="n">
        <x:v>1</x:v>
      </x:c>
      <x:c r="N112" s="2" t="str">
        <x:v>task_complete</x:v>
      </x:c>
    </x:row>
    <x:row r="113" ht="23" customHeight="1">
      <x:c r="A113" s="2" t="str">
        <x:v>R011</x:v>
      </x:c>
      <x:c r="B113" s="2" t="str">
        <x:v>default</x:v>
      </x:c>
      <x:c r="C113" s="2" t="str">
        <x:v>reasoning</x:v>
      </x:c>
      <x:c r="D113" s="2" t="str">
        <x:v>en</x:v>
      </x:c>
      <x:c r="E113" s="2" t="n">
        <x:v>1</x:v>
      </x:c>
      <x:c r="F113" s="2" t="n">
        <x:v>1</x:v>
      </x:c>
      <x:c r="G113" s="7" t="n">
        <x:v>24.858290700001817</x:v>
      </x:c>
      <x:c r="H113" s="2" t="n">
        <x:v>9297</x:v>
      </x:c>
      <x:c r="I113" s="2" t="n">
        <x:v>424</x:v>
      </x:c>
      <x:c r="J113" s="2" t="n">
        <x:v>0</x:v>
      </x:c>
      <x:c r="K113" s="2" t="n">
        <x:f>IF(J113&gt;0,"未知",SUM(H113:I113))</x:f>
        <x:v>9721</x:v>
      </x:c>
      <x:c r="L113" s="2" t="n">
        <x:v>4</x:v>
      </x:c>
      <x:c r="M113" s="2" t="n">
        <x:v>1</x:v>
      </x:c>
      <x:c r="N113" s="2" t="str">
        <x:v>task_complete</x:v>
      </x:c>
    </x:row>
    <x:row r="114" ht="23" customHeight="1">
      <x:c r="A114" s="2" t="str">
        <x:v>R012</x:v>
      </x:c>
      <x:c r="B114" s="2" t="str">
        <x:v>default</x:v>
      </x:c>
      <x:c r="C114" s="2" t="str">
        <x:v>reasoning</x:v>
      </x:c>
      <x:c r="D114" s="2" t="str">
        <x:v>zh</x:v>
      </x:c>
      <x:c r="E114" s="2" t="n">
        <x:v>1</x:v>
      </x:c>
      <x:c r="F114" s="2" t="n">
        <x:v>1</x:v>
      </x:c>
      <x:c r="G114" s="7" t="n">
        <x:v>10.247329099998751</x:v>
      </x:c>
      <x:c r="H114" s="2" t="n">
        <x:v>3962</x:v>
      </x:c>
      <x:c r="I114" s="2" t="n">
        <x:v>87</x:v>
      </x:c>
      <x:c r="J114" s="2" t="n">
        <x:v>0</x:v>
      </x:c>
      <x:c r="K114" s="2" t="n">
        <x:f>IF(J114&gt;0,"未知",SUM(H114:I114))</x:f>
        <x:v>4049</x:v>
      </x:c>
      <x:c r="L114" s="2" t="n">
        <x:v>2</x:v>
      </x:c>
      <x:c r="M114" s="2" t="n">
        <x:v>0</x:v>
      </x:c>
      <x:c r="N114" s="2" t="str">
        <x:v>incomplete</x:v>
      </x:c>
    </x:row>
    <x:row r="115" ht="23" customHeight="1">
      <x:c r="A115" s="2" t="str">
        <x:v>R012</x:v>
      </x:c>
      <x:c r="B115" s="2" t="str">
        <x:v>no_rules</x:v>
      </x:c>
      <x:c r="C115" s="2" t="str">
        <x:v>reasoning</x:v>
      </x:c>
      <x:c r="D115" s="2" t="str">
        <x:v>zh</x:v>
      </x:c>
      <x:c r="E115" s="2" t="n">
        <x:v>1</x:v>
      </x:c>
      <x:c r="F115" s="2" t="n">
        <x:v>1</x:v>
      </x:c>
      <x:c r="G115" s="7" t="n">
        <x:v>11.16166449999946</x:v>
      </x:c>
      <x:c r="H115" s="2" t="n">
        <x:v>3962</x:v>
      </x:c>
      <x:c r="I115" s="2" t="n">
        <x:v>86</x:v>
      </x:c>
      <x:c r="J115" s="2" t="n">
        <x:v>0</x:v>
      </x:c>
      <x:c r="K115" s="2" t="n">
        <x:f>IF(J115&gt;0,"未知",SUM(H115:I115))</x:f>
        <x:v>4048</x:v>
      </x:c>
      <x:c r="L115" s="2" t="n">
        <x:v>2</x:v>
      </x:c>
      <x:c r="M115" s="2" t="n">
        <x:v>0</x:v>
      </x:c>
      <x:c r="N115" s="2" t="str">
        <x:v>incomplete</x:v>
      </x:c>
    </x:row>
    <x:row r="116" ht="23" customHeight="1">
      <x:c r="A116" s="2" t="str">
        <x:v>R013</x:v>
      </x:c>
      <x:c r="B116" s="2" t="str">
        <x:v>no_rules</x:v>
      </x:c>
      <x:c r="C116" s="2" t="str">
        <x:v>reasoning</x:v>
      </x:c>
      <x:c r="D116" s="2" t="str">
        <x:v>en</x:v>
      </x:c>
      <x:c r="E116" s="2" t="n">
        <x:v>1</x:v>
      </x:c>
      <x:c r="F116" s="2" t="n">
        <x:v>1</x:v>
      </x:c>
      <x:c r="G116" s="7" t="n">
        <x:v>24.209725500000786</x:v>
      </x:c>
      <x:c r="H116" s="2" t="n">
        <x:v>9234</x:v>
      </x:c>
      <x:c r="I116" s="2" t="n">
        <x:v>354</x:v>
      </x:c>
      <x:c r="J116" s="2" t="n">
        <x:v>0</x:v>
      </x:c>
      <x:c r="K116" s="2" t="n">
        <x:f>IF(J116&gt;0,"未知",SUM(H116:I116))</x:f>
        <x:v>9588</x:v>
      </x:c>
      <x:c r="L116" s="2" t="n">
        <x:v>4</x:v>
      </x:c>
      <x:c r="M116" s="2" t="n">
        <x:v>1</x:v>
      </x:c>
      <x:c r="N116" s="2" t="str">
        <x:v>task_complete</x:v>
      </x:c>
    </x:row>
    <x:row r="117" ht="23" customHeight="1">
      <x:c r="A117" s="2" t="str">
        <x:v>R013</x:v>
      </x:c>
      <x:c r="B117" s="2" t="str">
        <x:v>default</x:v>
      </x:c>
      <x:c r="C117" s="2" t="str">
        <x:v>reasoning</x:v>
      </x:c>
      <x:c r="D117" s="2" t="str">
        <x:v>en</x:v>
      </x:c>
      <x:c r="E117" s="2" t="n">
        <x:v>1</x:v>
      </x:c>
      <x:c r="F117" s="2" t="n">
        <x:v>1</x:v>
      </x:c>
      <x:c r="G117" s="7" t="n">
        <x:v>20.010626800001774</x:v>
      </x:c>
      <x:c r="H117" s="2" t="n">
        <x:v>8800</x:v>
      </x:c>
      <x:c r="I117" s="2" t="n">
        <x:v>262</x:v>
      </x:c>
      <x:c r="J117" s="2" t="n">
        <x:v>0</x:v>
      </x:c>
      <x:c r="K117" s="2" t="n">
        <x:f>IF(J117&gt;0,"未知",SUM(H117:I117))</x:f>
        <x:v>9062</x:v>
      </x:c>
      <x:c r="L117" s="2" t="n">
        <x:v>4</x:v>
      </x:c>
      <x:c r="M117" s="2" t="n">
        <x:v>1</x:v>
      </x:c>
      <x:c r="N117" s="2" t="str">
        <x:v>task_complete</x:v>
      </x:c>
    </x:row>
    <x:row r="118" ht="23" customHeight="1">
      <x:c r="A118" s="2" t="str">
        <x:v>R014</x:v>
      </x:c>
      <x:c r="B118" s="2" t="str">
        <x:v>default</x:v>
      </x:c>
      <x:c r="C118" s="2" t="str">
        <x:v>reasoning</x:v>
      </x:c>
      <x:c r="D118" s="2" t="str">
        <x:v>zh</x:v>
      </x:c>
      <x:c r="E118" s="2" t="n">
        <x:v>1</x:v>
      </x:c>
      <x:c r="F118" s="2" t="n">
        <x:v>1</x:v>
      </x:c>
      <x:c r="G118" s="7" t="n">
        <x:v>10.146342899999581</x:v>
      </x:c>
      <x:c r="H118" s="2" t="n">
        <x:v>3952</x:v>
      </x:c>
      <x:c r="I118" s="2" t="n">
        <x:v>80</x:v>
      </x:c>
      <x:c r="J118" s="2" t="n">
        <x:v>0</x:v>
      </x:c>
      <x:c r="K118" s="2" t="n">
        <x:f>IF(J118&gt;0,"未知",SUM(H118:I118))</x:f>
        <x:v>4032</x:v>
      </x:c>
      <x:c r="L118" s="2" t="n">
        <x:v>2</x:v>
      </x:c>
      <x:c r="M118" s="2" t="n">
        <x:v>0</x:v>
      </x:c>
      <x:c r="N118" s="2" t="str">
        <x:v>incomplete</x:v>
      </x:c>
    </x:row>
    <x:row r="119" ht="23" customHeight="1">
      <x:c r="A119" s="2" t="str">
        <x:v>R014</x:v>
      </x:c>
      <x:c r="B119" s="2" t="str">
        <x:v>no_rules</x:v>
      </x:c>
      <x:c r="C119" s="2" t="str">
        <x:v>reasoning</x:v>
      </x:c>
      <x:c r="D119" s="2" t="str">
        <x:v>zh</x:v>
      </x:c>
      <x:c r="E119" s="2" t="n">
        <x:v>1</x:v>
      </x:c>
      <x:c r="F119" s="2" t="n">
        <x:v>1</x:v>
      </x:c>
      <x:c r="G119" s="7" t="n">
        <x:v>10.753674600000522</x:v>
      </x:c>
      <x:c r="H119" s="2" t="n">
        <x:v>3952</x:v>
      </x:c>
      <x:c r="I119" s="2" t="n">
        <x:v>80</x:v>
      </x:c>
      <x:c r="J119" s="2" t="n">
        <x:v>0</x:v>
      </x:c>
      <x:c r="K119" s="2" t="n">
        <x:f>IF(J119&gt;0,"未知",SUM(H119:I119))</x:f>
        <x:v>4032</x:v>
      </x:c>
      <x:c r="L119" s="2" t="n">
        <x:v>2</x:v>
      </x:c>
      <x:c r="M119" s="2" t="n">
        <x:v>0</x:v>
      </x:c>
      <x:c r="N119" s="2" t="str">
        <x:v>incomplete</x:v>
      </x:c>
    </x:row>
    <x:row r="120" ht="23" customHeight="1">
      <x:c r="A120" s="2" t="str">
        <x:v>R015</x:v>
      </x:c>
      <x:c r="B120" s="2" t="str">
        <x:v>no_rules</x:v>
      </x:c>
      <x:c r="C120" s="2" t="str">
        <x:v>reasoning</x:v>
      </x:c>
      <x:c r="D120" s="2" t="str">
        <x:v>en</x:v>
      </x:c>
      <x:c r="E120" s="2" t="n">
        <x:v>1</x:v>
      </x:c>
      <x:c r="F120" s="2" t="n">
        <x:v>1</x:v>
      </x:c>
      <x:c r="G120" s="7" t="n">
        <x:v>42.99260990000039</x:v>
      </x:c>
      <x:c r="H120" s="2" t="n">
        <x:v>10575</x:v>
      </x:c>
      <x:c r="I120" s="2" t="n">
        <x:v>975</x:v>
      </x:c>
      <x:c r="J120" s="2" t="n">
        <x:v>0</x:v>
      </x:c>
      <x:c r="K120" s="2" t="n">
        <x:f>IF(J120&gt;0,"未知",SUM(H120:I120))</x:f>
        <x:v>11550</x:v>
      </x:c>
      <x:c r="L120" s="2" t="n">
        <x:v>4</x:v>
      </x:c>
      <x:c r="M120" s="2" t="n">
        <x:v>1</x:v>
      </x:c>
      <x:c r="N120" s="2" t="str">
        <x:v>task_complete</x:v>
      </x:c>
    </x:row>
    <x:row r="121" ht="23" customHeight="1">
      <x:c r="A121" s="2" t="str">
        <x:v>R015</x:v>
      </x:c>
      <x:c r="B121" s="2" t="str">
        <x:v>default</x:v>
      </x:c>
      <x:c r="C121" s="2" t="str">
        <x:v>reasoning</x:v>
      </x:c>
      <x:c r="D121" s="2" t="str">
        <x:v>en</x:v>
      </x:c>
      <x:c r="E121" s="2" t="n">
        <x:v>1</x:v>
      </x:c>
      <x:c r="F121" s="2" t="n">
        <x:v>1</x:v>
      </x:c>
      <x:c r="G121" s="7" t="n">
        <x:v>35.6423203000013</x:v>
      </x:c>
      <x:c r="H121" s="2" t="n">
        <x:v>10358</x:v>
      </x:c>
      <x:c r="I121" s="2" t="n">
        <x:v>779</x:v>
      </x:c>
      <x:c r="J121" s="2" t="n">
        <x:v>0</x:v>
      </x:c>
      <x:c r="K121" s="2" t="n">
        <x:f>IF(J121&gt;0,"未知",SUM(H121:I121))</x:f>
        <x:v>11137</x:v>
      </x:c>
      <x:c r="L121" s="2" t="n">
        <x:v>4</x:v>
      </x:c>
      <x:c r="M121" s="2" t="n">
        <x:v>1</x:v>
      </x:c>
      <x:c r="N121" s="2" t="str">
        <x:v>task_complete</x:v>
      </x:c>
    </x:row>
  </x:sheetData>
  <x:pageMargins left="0.7" right="0.7" top="0.75" bottom="0.75" header="0.3" footer="0.3"/>
</x:worksheet>
</file>